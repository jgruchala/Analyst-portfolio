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filterPrivacy="1" codeName="ThisWorkbook"/>
  <xr:revisionPtr revIDLastSave="66" documentId="13_ncr:1_{BD6BD350-E191-4AB0-BC07-96ECCCE7B816}" xr6:coauthVersionLast="47" xr6:coauthVersionMax="47" xr10:uidLastSave="{9B67E2DC-050E-4F74-9E79-62F5035FAD6F}"/>
  <bookViews>
    <workbookView xWindow="-110" yWindow="-110" windowWidth="19420" windowHeight="10300" xr2:uid="{00000000-000D-0000-FFFF-FFFF00000000}"/>
  </bookViews>
  <sheets>
    <sheet name="Table of Contents" sheetId="1" r:id="rId1"/>
    <sheet name="Q1.1" sheetId="2" r:id="rId2"/>
    <sheet name="Q1.2" sheetId="3" r:id="rId3"/>
    <sheet name="Q2" sheetId="4" r:id="rId4"/>
    <sheet name="Q3.1" sheetId="5" r:id="rId5"/>
    <sheet name="Q3.2" sheetId="6" r:id="rId6"/>
    <sheet name="Q4.1" sheetId="7" r:id="rId7"/>
    <sheet name="Q4.2" sheetId="8" r:id="rId8"/>
    <sheet name="Q5a" sheetId="9" r:id="rId9"/>
    <sheet name="Q5b" sheetId="10" r:id="rId10"/>
    <sheet name="Q5T" sheetId="29" r:id="rId11"/>
    <sheet name="DX1" sheetId="11" r:id="rId12"/>
    <sheet name="DX2" sheetId="12" r:id="rId13"/>
    <sheet name="DX3.A" sheetId="13" state="hidden" r:id="rId14"/>
    <sheet name="DX3.B" sheetId="14" state="hidden" r:id="rId15"/>
    <sheet name="DX3.C" sheetId="15" state="hidden" r:id="rId16"/>
    <sheet name="DX4" sheetId="16" state="hidden" r:id="rId17"/>
    <sheet name="Q15" sheetId="17" state="hidden" r:id="rId18"/>
    <sheet name="QDX4" sheetId="18" state="hidden" r:id="rId19"/>
    <sheet name="QDX8" sheetId="19" state="hidden" r:id="rId20"/>
    <sheet name="DX5" sheetId="20" r:id="rId21"/>
    <sheet name="DX6a" sheetId="21" r:id="rId22"/>
    <sheet name="DX6b" sheetId="22" r:id="rId23"/>
    <sheet name="DX6c" sheetId="23" r:id="rId24"/>
    <sheet name="DX6d" sheetId="24" r:id="rId25"/>
    <sheet name="DX6e" sheetId="25" r:id="rId26"/>
    <sheet name="DX7" sheetId="26" r:id="rId27"/>
    <sheet name="DX8" sheetId="27" r:id="rId28"/>
    <sheet name="DX9" sheetId="28" r:id="rId2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19" l="1"/>
  <c r="B11" i="18"/>
  <c r="T119" i="17"/>
  <c r="K119" i="17"/>
  <c r="I119" i="17"/>
  <c r="W118" i="17"/>
  <c r="Q118" i="17"/>
  <c r="P118" i="17"/>
  <c r="L118" i="17"/>
  <c r="F118" i="17"/>
  <c r="E118" i="17"/>
  <c r="Z117" i="17"/>
  <c r="O117" i="17"/>
  <c r="D117" i="17"/>
  <c r="W116" i="17"/>
  <c r="V116" i="17"/>
  <c r="R116" i="17"/>
  <c r="L116" i="17"/>
  <c r="K116" i="17"/>
  <c r="G116" i="17"/>
  <c r="U115" i="17"/>
  <c r="J115" i="17"/>
  <c r="X114" i="17"/>
  <c r="R114" i="17"/>
  <c r="Q114" i="17"/>
  <c r="M114" i="17"/>
  <c r="G114" i="17"/>
  <c r="F114" i="17"/>
  <c r="B114" i="17"/>
  <c r="P113" i="17"/>
  <c r="E113" i="17"/>
  <c r="X112" i="17"/>
  <c r="W112" i="17"/>
  <c r="S112" i="17"/>
  <c r="M112" i="17"/>
  <c r="L112" i="17"/>
  <c r="H112" i="17"/>
  <c r="B112" i="17"/>
  <c r="V111" i="17"/>
  <c r="K111" i="17"/>
  <c r="Y110" i="17"/>
  <c r="S110" i="17"/>
  <c r="R110" i="17"/>
  <c r="N110" i="17"/>
  <c r="H110" i="17"/>
  <c r="G110" i="17"/>
  <c r="C110" i="17"/>
  <c r="Q109" i="17"/>
  <c r="F109" i="17"/>
  <c r="Y108" i="17"/>
  <c r="X108" i="17"/>
  <c r="T108" i="17"/>
  <c r="N108" i="17"/>
  <c r="M108" i="17"/>
  <c r="I108" i="17"/>
  <c r="C108" i="17"/>
  <c r="B108" i="17"/>
  <c r="W107" i="17"/>
  <c r="L107" i="17"/>
  <c r="Z106" i="17"/>
  <c r="T106" i="17"/>
  <c r="S106" i="17"/>
  <c r="O106" i="17"/>
  <c r="I106" i="17"/>
  <c r="H106" i="17"/>
  <c r="D106" i="17"/>
  <c r="R105" i="17"/>
  <c r="G105" i="17"/>
  <c r="Z104" i="17"/>
  <c r="Y104" i="17"/>
  <c r="U104" i="17"/>
  <c r="O104" i="17"/>
  <c r="N104" i="17"/>
  <c r="J104" i="17"/>
  <c r="D104" i="17"/>
  <c r="C104" i="17"/>
  <c r="X103" i="17"/>
  <c r="M103" i="17"/>
  <c r="B103" i="17"/>
  <c r="U102" i="17"/>
  <c r="T102" i="17"/>
  <c r="P102" i="17"/>
  <c r="J102" i="17"/>
  <c r="I102" i="17"/>
  <c r="E102" i="17"/>
  <c r="S101" i="17"/>
  <c r="H101" i="17"/>
  <c r="Z100" i="17"/>
  <c r="V100" i="17"/>
  <c r="P100" i="17"/>
  <c r="O100" i="17"/>
  <c r="K100" i="17"/>
  <c r="E100" i="17"/>
  <c r="D100" i="17"/>
  <c r="Y99" i="17"/>
  <c r="N99" i="17"/>
  <c r="C99" i="17"/>
  <c r="V98" i="17"/>
  <c r="U98" i="17"/>
  <c r="Q98" i="17"/>
  <c r="K98" i="17"/>
  <c r="J98" i="17"/>
  <c r="F98" i="17"/>
  <c r="T97" i="17"/>
  <c r="I97" i="17"/>
  <c r="W96" i="17"/>
  <c r="Q96" i="17"/>
  <c r="P96" i="17"/>
  <c r="L96" i="17"/>
  <c r="F96" i="17"/>
  <c r="E96" i="17"/>
  <c r="Z95" i="17"/>
  <c r="O95" i="17"/>
  <c r="D95" i="17"/>
  <c r="W94" i="17"/>
  <c r="V94" i="17"/>
  <c r="R94" i="17"/>
  <c r="L94" i="17"/>
  <c r="K94" i="17"/>
  <c r="G94" i="17"/>
  <c r="U93" i="17"/>
  <c r="J93" i="17"/>
  <c r="X92" i="17"/>
  <c r="R92" i="17"/>
  <c r="Q92" i="17"/>
  <c r="M92" i="17"/>
  <c r="G92" i="17"/>
  <c r="F92" i="17"/>
  <c r="B92" i="17"/>
  <c r="P91" i="17"/>
  <c r="E91" i="17"/>
  <c r="X90" i="17"/>
  <c r="W90" i="17"/>
  <c r="S90" i="17"/>
  <c r="M90" i="17"/>
  <c r="L90" i="17"/>
  <c r="H90" i="17"/>
  <c r="B90" i="17"/>
  <c r="Z89" i="17"/>
  <c r="V89" i="17"/>
  <c r="P89" i="17"/>
  <c r="O89" i="17"/>
  <c r="K89" i="17"/>
  <c r="E89" i="17"/>
  <c r="D89" i="17"/>
  <c r="Y88" i="17"/>
  <c r="S88" i="17"/>
  <c r="R88" i="17"/>
  <c r="N88" i="17"/>
  <c r="H88" i="17"/>
  <c r="G88" i="17"/>
  <c r="C88" i="17"/>
  <c r="Z86" i="17"/>
  <c r="Z119" i="17" s="1"/>
  <c r="Y86" i="17"/>
  <c r="Y119" i="17" s="1"/>
  <c r="X86" i="17"/>
  <c r="W86" i="17"/>
  <c r="W119" i="17" s="1"/>
  <c r="V86" i="17"/>
  <c r="V119" i="17" s="1"/>
  <c r="U86" i="17"/>
  <c r="U119" i="17" s="1"/>
  <c r="T86" i="17"/>
  <c r="S86" i="17"/>
  <c r="S119" i="17" s="1"/>
  <c r="R86" i="17"/>
  <c r="R119" i="17" s="1"/>
  <c r="Q86" i="17"/>
  <c r="Q119" i="17" s="1"/>
  <c r="P86" i="17"/>
  <c r="P119" i="17" s="1"/>
  <c r="O86" i="17"/>
  <c r="O119" i="17" s="1"/>
  <c r="N86" i="17"/>
  <c r="M86" i="17"/>
  <c r="L86" i="17"/>
  <c r="L119" i="17" s="1"/>
  <c r="K86" i="17"/>
  <c r="J86" i="17"/>
  <c r="J119" i="17" s="1"/>
  <c r="I86" i="17"/>
  <c r="H86" i="17"/>
  <c r="H119" i="17" s="1"/>
  <c r="G86" i="17"/>
  <c r="G119" i="17" s="1"/>
  <c r="F86" i="17"/>
  <c r="F119" i="17" s="1"/>
  <c r="E86" i="17"/>
  <c r="E119" i="17" s="1"/>
  <c r="D86" i="17"/>
  <c r="D119" i="17" s="1"/>
  <c r="C86" i="17"/>
  <c r="B86" i="17"/>
  <c r="Z85" i="17"/>
  <c r="Z118" i="17" s="1"/>
  <c r="Y85" i="17"/>
  <c r="Y118" i="17" s="1"/>
  <c r="X85" i="17"/>
  <c r="X118" i="17" s="1"/>
  <c r="W85" i="17"/>
  <c r="V85" i="17"/>
  <c r="V118" i="17" s="1"/>
  <c r="U85" i="17"/>
  <c r="U118" i="17" s="1"/>
  <c r="T85" i="17"/>
  <c r="T118" i="17" s="1"/>
  <c r="S85" i="17"/>
  <c r="S118" i="17" s="1"/>
  <c r="R85" i="17"/>
  <c r="R118" i="17" s="1"/>
  <c r="Q85" i="17"/>
  <c r="P85" i="17"/>
  <c r="O85" i="17"/>
  <c r="O118" i="17" s="1"/>
  <c r="N85" i="17"/>
  <c r="N118" i="17" s="1"/>
  <c r="M85" i="17"/>
  <c r="M118" i="17" s="1"/>
  <c r="L85" i="17"/>
  <c r="K85" i="17"/>
  <c r="K118" i="17" s="1"/>
  <c r="J85" i="17"/>
  <c r="J118" i="17" s="1"/>
  <c r="I85" i="17"/>
  <c r="I118" i="17" s="1"/>
  <c r="H85" i="17"/>
  <c r="H118" i="17" s="1"/>
  <c r="G85" i="17"/>
  <c r="G118" i="17" s="1"/>
  <c r="F85" i="17"/>
  <c r="E85" i="17"/>
  <c r="D85" i="17"/>
  <c r="D118" i="17" s="1"/>
  <c r="C85" i="17"/>
  <c r="C118" i="17" s="1"/>
  <c r="B85" i="17"/>
  <c r="B118" i="17" s="1"/>
  <c r="Z84" i="17"/>
  <c r="Y84" i="17"/>
  <c r="Y117" i="17" s="1"/>
  <c r="X84" i="17"/>
  <c r="X119" i="17" s="1"/>
  <c r="W84" i="17"/>
  <c r="W117" i="17" s="1"/>
  <c r="V84" i="17"/>
  <c r="V117" i="17" s="1"/>
  <c r="U84" i="17"/>
  <c r="U117" i="17" s="1"/>
  <c r="T84" i="17"/>
  <c r="S84" i="17"/>
  <c r="R84" i="17"/>
  <c r="R117" i="17" s="1"/>
  <c r="Q84" i="17"/>
  <c r="Q117" i="17" s="1"/>
  <c r="P84" i="17"/>
  <c r="P117" i="17" s="1"/>
  <c r="O84" i="17"/>
  <c r="N84" i="17"/>
  <c r="N119" i="17" s="1"/>
  <c r="M84" i="17"/>
  <c r="M119" i="17" s="1"/>
  <c r="L84" i="17"/>
  <c r="L117" i="17" s="1"/>
  <c r="K84" i="17"/>
  <c r="K117" i="17" s="1"/>
  <c r="J84" i="17"/>
  <c r="J117" i="17" s="1"/>
  <c r="I84" i="17"/>
  <c r="H84" i="17"/>
  <c r="G84" i="17"/>
  <c r="G117" i="17" s="1"/>
  <c r="F84" i="17"/>
  <c r="F117" i="17" s="1"/>
  <c r="E84" i="17"/>
  <c r="E117" i="17" s="1"/>
  <c r="D84" i="17"/>
  <c r="C84" i="17"/>
  <c r="C119" i="17" s="1"/>
  <c r="B84" i="17"/>
  <c r="B119" i="17" s="1"/>
  <c r="Z83" i="17"/>
  <c r="Z116" i="17" s="1"/>
  <c r="Y83" i="17"/>
  <c r="Y116" i="17" s="1"/>
  <c r="X83" i="17"/>
  <c r="X116" i="17" s="1"/>
  <c r="W83" i="17"/>
  <c r="V83" i="17"/>
  <c r="U83" i="17"/>
  <c r="U116" i="17" s="1"/>
  <c r="T83" i="17"/>
  <c r="T116" i="17" s="1"/>
  <c r="S83" i="17"/>
  <c r="S116" i="17" s="1"/>
  <c r="R83" i="17"/>
  <c r="Q83" i="17"/>
  <c r="Q116" i="17" s="1"/>
  <c r="P83" i="17"/>
  <c r="P116" i="17" s="1"/>
  <c r="O83" i="17"/>
  <c r="O116" i="17" s="1"/>
  <c r="N83" i="17"/>
  <c r="N116" i="17" s="1"/>
  <c r="M83" i="17"/>
  <c r="M116" i="17" s="1"/>
  <c r="L83" i="17"/>
  <c r="K83" i="17"/>
  <c r="J83" i="17"/>
  <c r="J116" i="17" s="1"/>
  <c r="I83" i="17"/>
  <c r="I116" i="17" s="1"/>
  <c r="H83" i="17"/>
  <c r="H116" i="17" s="1"/>
  <c r="G83" i="17"/>
  <c r="F83" i="17"/>
  <c r="F116" i="17" s="1"/>
  <c r="E83" i="17"/>
  <c r="E116" i="17" s="1"/>
  <c r="D83" i="17"/>
  <c r="D116" i="17" s="1"/>
  <c r="C83" i="17"/>
  <c r="C116" i="17" s="1"/>
  <c r="B83" i="17"/>
  <c r="B116" i="17" s="1"/>
  <c r="Z82" i="17"/>
  <c r="Y82" i="17"/>
  <c r="X82" i="17"/>
  <c r="X115" i="17" s="1"/>
  <c r="W82" i="17"/>
  <c r="W115" i="17" s="1"/>
  <c r="V82" i="17"/>
  <c r="V115" i="17" s="1"/>
  <c r="U82" i="17"/>
  <c r="T82" i="17"/>
  <c r="T117" i="17" s="1"/>
  <c r="S82" i="17"/>
  <c r="S117" i="17" s="1"/>
  <c r="R82" i="17"/>
  <c r="R115" i="17" s="1"/>
  <c r="Q82" i="17"/>
  <c r="Q115" i="17" s="1"/>
  <c r="P82" i="17"/>
  <c r="P115" i="17" s="1"/>
  <c r="O82" i="17"/>
  <c r="N82" i="17"/>
  <c r="M82" i="17"/>
  <c r="M115" i="17" s="1"/>
  <c r="L82" i="17"/>
  <c r="L115" i="17" s="1"/>
  <c r="K82" i="17"/>
  <c r="K115" i="17" s="1"/>
  <c r="J82" i="17"/>
  <c r="I82" i="17"/>
  <c r="I115" i="17" s="1"/>
  <c r="H82" i="17"/>
  <c r="H117" i="17" s="1"/>
  <c r="G82" i="17"/>
  <c r="G115" i="17" s="1"/>
  <c r="F82" i="17"/>
  <c r="F115" i="17" s="1"/>
  <c r="E82" i="17"/>
  <c r="E115" i="17" s="1"/>
  <c r="D82" i="17"/>
  <c r="C82" i="17"/>
  <c r="B82" i="17"/>
  <c r="B115" i="17" s="1"/>
  <c r="Z81" i="17"/>
  <c r="Z114" i="17" s="1"/>
  <c r="Y81" i="17"/>
  <c r="Y114" i="17" s="1"/>
  <c r="X81" i="17"/>
  <c r="W81" i="17"/>
  <c r="W114" i="17" s="1"/>
  <c r="V81" i="17"/>
  <c r="V114" i="17" s="1"/>
  <c r="U81" i="17"/>
  <c r="U114" i="17" s="1"/>
  <c r="T81" i="17"/>
  <c r="T114" i="17" s="1"/>
  <c r="S81" i="17"/>
  <c r="S114" i="17" s="1"/>
  <c r="R81" i="17"/>
  <c r="Q81" i="17"/>
  <c r="P81" i="17"/>
  <c r="P114" i="17" s="1"/>
  <c r="O81" i="17"/>
  <c r="O114" i="17" s="1"/>
  <c r="N81" i="17"/>
  <c r="N114" i="17" s="1"/>
  <c r="M81" i="17"/>
  <c r="L81" i="17"/>
  <c r="L114" i="17" s="1"/>
  <c r="K81" i="17"/>
  <c r="K114" i="17" s="1"/>
  <c r="J81" i="17"/>
  <c r="J114" i="17" s="1"/>
  <c r="I81" i="17"/>
  <c r="I114" i="17" s="1"/>
  <c r="H81" i="17"/>
  <c r="H114" i="17" s="1"/>
  <c r="G81" i="17"/>
  <c r="F81" i="17"/>
  <c r="E81" i="17"/>
  <c r="E114" i="17" s="1"/>
  <c r="D81" i="17"/>
  <c r="D114" i="17" s="1"/>
  <c r="C81" i="17"/>
  <c r="C114" i="17" s="1"/>
  <c r="B81" i="17"/>
  <c r="Z80" i="17"/>
  <c r="Z115" i="17" s="1"/>
  <c r="Y80" i="17"/>
  <c r="Y115" i="17" s="1"/>
  <c r="X80" i="17"/>
  <c r="X113" i="17" s="1"/>
  <c r="W80" i="17"/>
  <c r="W113" i="17" s="1"/>
  <c r="V80" i="17"/>
  <c r="V113" i="17" s="1"/>
  <c r="U80" i="17"/>
  <c r="T80" i="17"/>
  <c r="S80" i="17"/>
  <c r="S113" i="17" s="1"/>
  <c r="R80" i="17"/>
  <c r="R113" i="17" s="1"/>
  <c r="Q80" i="17"/>
  <c r="Q113" i="17" s="1"/>
  <c r="P80" i="17"/>
  <c r="O80" i="17"/>
  <c r="O115" i="17" s="1"/>
  <c r="N80" i="17"/>
  <c r="N115" i="17" s="1"/>
  <c r="M80" i="17"/>
  <c r="M113" i="17" s="1"/>
  <c r="L80" i="17"/>
  <c r="L113" i="17" s="1"/>
  <c r="K80" i="17"/>
  <c r="K113" i="17" s="1"/>
  <c r="J80" i="17"/>
  <c r="I80" i="17"/>
  <c r="H80" i="17"/>
  <c r="H113" i="17" s="1"/>
  <c r="G80" i="17"/>
  <c r="G113" i="17" s="1"/>
  <c r="F80" i="17"/>
  <c r="F113" i="17" s="1"/>
  <c r="E80" i="17"/>
  <c r="D80" i="17"/>
  <c r="D115" i="17" s="1"/>
  <c r="C80" i="17"/>
  <c r="C115" i="17" s="1"/>
  <c r="B80" i="17"/>
  <c r="B113" i="17" s="1"/>
  <c r="Z79" i="17"/>
  <c r="Z112" i="17" s="1"/>
  <c r="Y79" i="17"/>
  <c r="Y112" i="17" s="1"/>
  <c r="X79" i="17"/>
  <c r="W79" i="17"/>
  <c r="V79" i="17"/>
  <c r="V112" i="17" s="1"/>
  <c r="U79" i="17"/>
  <c r="U112" i="17" s="1"/>
  <c r="T79" i="17"/>
  <c r="T112" i="17" s="1"/>
  <c r="S79" i="17"/>
  <c r="R79" i="17"/>
  <c r="R112" i="17" s="1"/>
  <c r="Q79" i="17"/>
  <c r="Q112" i="17" s="1"/>
  <c r="P79" i="17"/>
  <c r="P112" i="17" s="1"/>
  <c r="O79" i="17"/>
  <c r="O112" i="17" s="1"/>
  <c r="N79" i="17"/>
  <c r="N112" i="17" s="1"/>
  <c r="M79" i="17"/>
  <c r="L79" i="17"/>
  <c r="K79" i="17"/>
  <c r="K112" i="17" s="1"/>
  <c r="J79" i="17"/>
  <c r="J112" i="17" s="1"/>
  <c r="I79" i="17"/>
  <c r="I112" i="17" s="1"/>
  <c r="H79" i="17"/>
  <c r="G79" i="17"/>
  <c r="G112" i="17" s="1"/>
  <c r="F79" i="17"/>
  <c r="F112" i="17" s="1"/>
  <c r="E79" i="17"/>
  <c r="E112" i="17" s="1"/>
  <c r="D79" i="17"/>
  <c r="D112" i="17" s="1"/>
  <c r="C79" i="17"/>
  <c r="C112" i="17" s="1"/>
  <c r="B79" i="17"/>
  <c r="Z78" i="17"/>
  <c r="Y78" i="17"/>
  <c r="Y111" i="17" s="1"/>
  <c r="X78" i="17"/>
  <c r="X111" i="17" s="1"/>
  <c r="W78" i="17"/>
  <c r="W111" i="17" s="1"/>
  <c r="V78" i="17"/>
  <c r="U78" i="17"/>
  <c r="U113" i="17" s="1"/>
  <c r="T78" i="17"/>
  <c r="T113" i="17" s="1"/>
  <c r="S78" i="17"/>
  <c r="S111" i="17" s="1"/>
  <c r="R78" i="17"/>
  <c r="R111" i="17" s="1"/>
  <c r="Q78" i="17"/>
  <c r="Q111" i="17" s="1"/>
  <c r="P78" i="17"/>
  <c r="O78" i="17"/>
  <c r="N78" i="17"/>
  <c r="N111" i="17" s="1"/>
  <c r="M78" i="17"/>
  <c r="M111" i="17" s="1"/>
  <c r="L78" i="17"/>
  <c r="L111" i="17" s="1"/>
  <c r="K78" i="17"/>
  <c r="J78" i="17"/>
  <c r="J113" i="17" s="1"/>
  <c r="I78" i="17"/>
  <c r="I113" i="17" s="1"/>
  <c r="H78" i="17"/>
  <c r="H111" i="17" s="1"/>
  <c r="G78" i="17"/>
  <c r="G111" i="17" s="1"/>
  <c r="F78" i="17"/>
  <c r="F111" i="17" s="1"/>
  <c r="E78" i="17"/>
  <c r="D78" i="17"/>
  <c r="C78" i="17"/>
  <c r="C111" i="17" s="1"/>
  <c r="B78" i="17"/>
  <c r="B111" i="17" s="1"/>
  <c r="Z77" i="17"/>
  <c r="Z110" i="17" s="1"/>
  <c r="Y77" i="17"/>
  <c r="X77" i="17"/>
  <c r="X110" i="17" s="1"/>
  <c r="W77" i="17"/>
  <c r="W110" i="17" s="1"/>
  <c r="V77" i="17"/>
  <c r="V110" i="17" s="1"/>
  <c r="U77" i="17"/>
  <c r="U110" i="17" s="1"/>
  <c r="T77" i="17"/>
  <c r="T110" i="17" s="1"/>
  <c r="S77" i="17"/>
  <c r="R77" i="17"/>
  <c r="Q77" i="17"/>
  <c r="Q110" i="17" s="1"/>
  <c r="P77" i="17"/>
  <c r="P110" i="17" s="1"/>
  <c r="O77" i="17"/>
  <c r="O110" i="17" s="1"/>
  <c r="N77" i="17"/>
  <c r="M77" i="17"/>
  <c r="M110" i="17" s="1"/>
  <c r="L77" i="17"/>
  <c r="L110" i="17" s="1"/>
  <c r="K77" i="17"/>
  <c r="K110" i="17" s="1"/>
  <c r="J77" i="17"/>
  <c r="J110" i="17" s="1"/>
  <c r="I77" i="17"/>
  <c r="I110" i="17" s="1"/>
  <c r="H77" i="17"/>
  <c r="G77" i="17"/>
  <c r="F77" i="17"/>
  <c r="F110" i="17" s="1"/>
  <c r="E77" i="17"/>
  <c r="E110" i="17" s="1"/>
  <c r="D77" i="17"/>
  <c r="D110" i="17" s="1"/>
  <c r="C77" i="17"/>
  <c r="B77" i="17"/>
  <c r="B110" i="17" s="1"/>
  <c r="Z76" i="17"/>
  <c r="Z111" i="17" s="1"/>
  <c r="Y76" i="17"/>
  <c r="Y109" i="17" s="1"/>
  <c r="X76" i="17"/>
  <c r="X109" i="17" s="1"/>
  <c r="W76" i="17"/>
  <c r="W109" i="17" s="1"/>
  <c r="V76" i="17"/>
  <c r="U76" i="17"/>
  <c r="T76" i="17"/>
  <c r="T109" i="17" s="1"/>
  <c r="S76" i="17"/>
  <c r="S109" i="17" s="1"/>
  <c r="R76" i="17"/>
  <c r="R109" i="17" s="1"/>
  <c r="Q76" i="17"/>
  <c r="P76" i="17"/>
  <c r="P111" i="17" s="1"/>
  <c r="O76" i="17"/>
  <c r="O111" i="17" s="1"/>
  <c r="N76" i="17"/>
  <c r="N109" i="17" s="1"/>
  <c r="M76" i="17"/>
  <c r="M109" i="17" s="1"/>
  <c r="L76" i="17"/>
  <c r="L109" i="17" s="1"/>
  <c r="K76" i="17"/>
  <c r="J76" i="17"/>
  <c r="I76" i="17"/>
  <c r="I109" i="17" s="1"/>
  <c r="H76" i="17"/>
  <c r="H109" i="17" s="1"/>
  <c r="G76" i="17"/>
  <c r="G109" i="17" s="1"/>
  <c r="F76" i="17"/>
  <c r="E76" i="17"/>
  <c r="E111" i="17" s="1"/>
  <c r="D76" i="17"/>
  <c r="D111" i="17" s="1"/>
  <c r="C76" i="17"/>
  <c r="C109" i="17" s="1"/>
  <c r="B76" i="17"/>
  <c r="B109" i="17" s="1"/>
  <c r="Z75" i="17"/>
  <c r="Z108" i="17" s="1"/>
  <c r="Y75" i="17"/>
  <c r="X75" i="17"/>
  <c r="W75" i="17"/>
  <c r="W108" i="17" s="1"/>
  <c r="V75" i="17"/>
  <c r="V108" i="17" s="1"/>
  <c r="U75" i="17"/>
  <c r="U108" i="17" s="1"/>
  <c r="T75" i="17"/>
  <c r="S75" i="17"/>
  <c r="S108" i="17" s="1"/>
  <c r="R75" i="17"/>
  <c r="R108" i="17" s="1"/>
  <c r="Q75" i="17"/>
  <c r="Q108" i="17" s="1"/>
  <c r="P75" i="17"/>
  <c r="P108" i="17" s="1"/>
  <c r="O75" i="17"/>
  <c r="O108" i="17" s="1"/>
  <c r="N75" i="17"/>
  <c r="M75" i="17"/>
  <c r="L75" i="17"/>
  <c r="L108" i="17" s="1"/>
  <c r="K75" i="17"/>
  <c r="K108" i="17" s="1"/>
  <c r="J75" i="17"/>
  <c r="J108" i="17" s="1"/>
  <c r="I75" i="17"/>
  <c r="H75" i="17"/>
  <c r="H108" i="17" s="1"/>
  <c r="G75" i="17"/>
  <c r="G108" i="17" s="1"/>
  <c r="F75" i="17"/>
  <c r="F108" i="17" s="1"/>
  <c r="E75" i="17"/>
  <c r="E108" i="17" s="1"/>
  <c r="D75" i="17"/>
  <c r="D108" i="17" s="1"/>
  <c r="C75" i="17"/>
  <c r="B75" i="17"/>
  <c r="Z74" i="17"/>
  <c r="Z107" i="17" s="1"/>
  <c r="Y74" i="17"/>
  <c r="Y107" i="17" s="1"/>
  <c r="X74" i="17"/>
  <c r="X107" i="17" s="1"/>
  <c r="W74" i="17"/>
  <c r="V74" i="17"/>
  <c r="V109" i="17" s="1"/>
  <c r="U74" i="17"/>
  <c r="U109" i="17" s="1"/>
  <c r="T74" i="17"/>
  <c r="T107" i="17" s="1"/>
  <c r="S74" i="17"/>
  <c r="S107" i="17" s="1"/>
  <c r="R74" i="17"/>
  <c r="R107" i="17" s="1"/>
  <c r="Q74" i="17"/>
  <c r="P74" i="17"/>
  <c r="O74" i="17"/>
  <c r="O107" i="17" s="1"/>
  <c r="N74" i="17"/>
  <c r="N107" i="17" s="1"/>
  <c r="M74" i="17"/>
  <c r="M107" i="17" s="1"/>
  <c r="L74" i="17"/>
  <c r="K74" i="17"/>
  <c r="K109" i="17" s="1"/>
  <c r="J74" i="17"/>
  <c r="J109" i="17" s="1"/>
  <c r="I74" i="17"/>
  <c r="I107" i="17" s="1"/>
  <c r="H74" i="17"/>
  <c r="H107" i="17" s="1"/>
  <c r="G74" i="17"/>
  <c r="G107" i="17" s="1"/>
  <c r="F74" i="17"/>
  <c r="E74" i="17"/>
  <c r="D74" i="17"/>
  <c r="D107" i="17" s="1"/>
  <c r="C74" i="17"/>
  <c r="C107" i="17" s="1"/>
  <c r="B74" i="17"/>
  <c r="B107" i="17" s="1"/>
  <c r="Z73" i="17"/>
  <c r="Y73" i="17"/>
  <c r="Y106" i="17" s="1"/>
  <c r="X73" i="17"/>
  <c r="X106" i="17" s="1"/>
  <c r="W73" i="17"/>
  <c r="W106" i="17" s="1"/>
  <c r="V73" i="17"/>
  <c r="V106" i="17" s="1"/>
  <c r="U73" i="17"/>
  <c r="U106" i="17" s="1"/>
  <c r="T73" i="17"/>
  <c r="S73" i="17"/>
  <c r="R73" i="17"/>
  <c r="R106" i="17" s="1"/>
  <c r="Q73" i="17"/>
  <c r="Q106" i="17" s="1"/>
  <c r="P73" i="17"/>
  <c r="P106" i="17" s="1"/>
  <c r="O73" i="17"/>
  <c r="N73" i="17"/>
  <c r="N106" i="17" s="1"/>
  <c r="M73" i="17"/>
  <c r="M106" i="17" s="1"/>
  <c r="L73" i="17"/>
  <c r="L106" i="17" s="1"/>
  <c r="K73" i="17"/>
  <c r="K106" i="17" s="1"/>
  <c r="J73" i="17"/>
  <c r="J106" i="17" s="1"/>
  <c r="I73" i="17"/>
  <c r="H73" i="17"/>
  <c r="G73" i="17"/>
  <c r="G106" i="17" s="1"/>
  <c r="F73" i="17"/>
  <c r="F106" i="17" s="1"/>
  <c r="E73" i="17"/>
  <c r="E106" i="17" s="1"/>
  <c r="D73" i="17"/>
  <c r="C73" i="17"/>
  <c r="C106" i="17" s="1"/>
  <c r="B73" i="17"/>
  <c r="B106" i="17" s="1"/>
  <c r="Z72" i="17"/>
  <c r="Z105" i="17" s="1"/>
  <c r="Y72" i="17"/>
  <c r="Y105" i="17" s="1"/>
  <c r="X72" i="17"/>
  <c r="X105" i="17" s="1"/>
  <c r="W72" i="17"/>
  <c r="V72" i="17"/>
  <c r="U72" i="17"/>
  <c r="U105" i="17" s="1"/>
  <c r="T72" i="17"/>
  <c r="T105" i="17" s="1"/>
  <c r="S72" i="17"/>
  <c r="S105" i="17" s="1"/>
  <c r="R72" i="17"/>
  <c r="Q72" i="17"/>
  <c r="Q107" i="17" s="1"/>
  <c r="P72" i="17"/>
  <c r="P107" i="17" s="1"/>
  <c r="O72" i="17"/>
  <c r="O105" i="17" s="1"/>
  <c r="N72" i="17"/>
  <c r="N105" i="17" s="1"/>
  <c r="M72" i="17"/>
  <c r="M105" i="17" s="1"/>
  <c r="L72" i="17"/>
  <c r="K72" i="17"/>
  <c r="J72" i="17"/>
  <c r="J105" i="17" s="1"/>
  <c r="I72" i="17"/>
  <c r="I105" i="17" s="1"/>
  <c r="H72" i="17"/>
  <c r="H105" i="17" s="1"/>
  <c r="G72" i="17"/>
  <c r="F72" i="17"/>
  <c r="F107" i="17" s="1"/>
  <c r="E72" i="17"/>
  <c r="E107" i="17" s="1"/>
  <c r="D72" i="17"/>
  <c r="D105" i="17" s="1"/>
  <c r="C72" i="17"/>
  <c r="C105" i="17" s="1"/>
  <c r="B72" i="17"/>
  <c r="B105" i="17" s="1"/>
  <c r="Z71" i="17"/>
  <c r="Y71" i="17"/>
  <c r="X71" i="17"/>
  <c r="X104" i="17" s="1"/>
  <c r="W71" i="17"/>
  <c r="W104" i="17" s="1"/>
  <c r="V71" i="17"/>
  <c r="V104" i="17" s="1"/>
  <c r="U71" i="17"/>
  <c r="T71" i="17"/>
  <c r="T104" i="17" s="1"/>
  <c r="S71" i="17"/>
  <c r="S104" i="17" s="1"/>
  <c r="R71" i="17"/>
  <c r="R104" i="17" s="1"/>
  <c r="Q71" i="17"/>
  <c r="Q104" i="17" s="1"/>
  <c r="P71" i="17"/>
  <c r="P104" i="17" s="1"/>
  <c r="O71" i="17"/>
  <c r="N71" i="17"/>
  <c r="M71" i="17"/>
  <c r="M104" i="17" s="1"/>
  <c r="L71" i="17"/>
  <c r="L104" i="17" s="1"/>
  <c r="K71" i="17"/>
  <c r="K104" i="17" s="1"/>
  <c r="J71" i="17"/>
  <c r="I71" i="17"/>
  <c r="I104" i="17" s="1"/>
  <c r="H71" i="17"/>
  <c r="H104" i="17" s="1"/>
  <c r="G71" i="17"/>
  <c r="G104" i="17" s="1"/>
  <c r="F71" i="17"/>
  <c r="F104" i="17" s="1"/>
  <c r="E71" i="17"/>
  <c r="E104" i="17" s="1"/>
  <c r="D71" i="17"/>
  <c r="C71" i="17"/>
  <c r="B71" i="17"/>
  <c r="B104" i="17" s="1"/>
  <c r="Z70" i="17"/>
  <c r="Z103" i="17" s="1"/>
  <c r="Y70" i="17"/>
  <c r="Y103" i="17" s="1"/>
  <c r="X70" i="17"/>
  <c r="W70" i="17"/>
  <c r="W105" i="17" s="1"/>
  <c r="V70" i="17"/>
  <c r="V105" i="17" s="1"/>
  <c r="U70" i="17"/>
  <c r="U103" i="17" s="1"/>
  <c r="T70" i="17"/>
  <c r="T103" i="17" s="1"/>
  <c r="S70" i="17"/>
  <c r="S103" i="17" s="1"/>
  <c r="R70" i="17"/>
  <c r="Q70" i="17"/>
  <c r="P70" i="17"/>
  <c r="P103" i="17" s="1"/>
  <c r="O70" i="17"/>
  <c r="O103" i="17" s="1"/>
  <c r="N70" i="17"/>
  <c r="N103" i="17" s="1"/>
  <c r="M70" i="17"/>
  <c r="L70" i="17"/>
  <c r="L105" i="17" s="1"/>
  <c r="K70" i="17"/>
  <c r="K105" i="17" s="1"/>
  <c r="J70" i="17"/>
  <c r="J103" i="17" s="1"/>
  <c r="I70" i="17"/>
  <c r="I103" i="17" s="1"/>
  <c r="H70" i="17"/>
  <c r="H103" i="17" s="1"/>
  <c r="G70" i="17"/>
  <c r="F70" i="17"/>
  <c r="E70" i="17"/>
  <c r="E103" i="17" s="1"/>
  <c r="D70" i="17"/>
  <c r="D103" i="17" s="1"/>
  <c r="C70" i="17"/>
  <c r="C103" i="17" s="1"/>
  <c r="B70" i="17"/>
  <c r="Z69" i="17"/>
  <c r="Z102" i="17" s="1"/>
  <c r="Y69" i="17"/>
  <c r="Y102" i="17" s="1"/>
  <c r="X69" i="17"/>
  <c r="X102" i="17" s="1"/>
  <c r="W69" i="17"/>
  <c r="W102" i="17" s="1"/>
  <c r="V69" i="17"/>
  <c r="V102" i="17" s="1"/>
  <c r="U69" i="17"/>
  <c r="T69" i="17"/>
  <c r="S69" i="17"/>
  <c r="S102" i="17" s="1"/>
  <c r="R69" i="17"/>
  <c r="R102" i="17" s="1"/>
  <c r="Q69" i="17"/>
  <c r="Q102" i="17" s="1"/>
  <c r="P69" i="17"/>
  <c r="O69" i="17"/>
  <c r="O102" i="17" s="1"/>
  <c r="N69" i="17"/>
  <c r="N102" i="17" s="1"/>
  <c r="M69" i="17"/>
  <c r="M102" i="17" s="1"/>
  <c r="L69" i="17"/>
  <c r="L102" i="17" s="1"/>
  <c r="K69" i="17"/>
  <c r="K102" i="17" s="1"/>
  <c r="J69" i="17"/>
  <c r="I69" i="17"/>
  <c r="H69" i="17"/>
  <c r="H102" i="17" s="1"/>
  <c r="G69" i="17"/>
  <c r="G102" i="17" s="1"/>
  <c r="F69" i="17"/>
  <c r="F102" i="17" s="1"/>
  <c r="E69" i="17"/>
  <c r="D69" i="17"/>
  <c r="D102" i="17" s="1"/>
  <c r="C69" i="17"/>
  <c r="C102" i="17" s="1"/>
  <c r="B69" i="17"/>
  <c r="B102" i="17" s="1"/>
  <c r="Z68" i="17"/>
  <c r="Z101" i="17" s="1"/>
  <c r="Y68" i="17"/>
  <c r="Y101" i="17" s="1"/>
  <c r="X68" i="17"/>
  <c r="W68" i="17"/>
  <c r="V68" i="17"/>
  <c r="V101" i="17" s="1"/>
  <c r="U68" i="17"/>
  <c r="U101" i="17" s="1"/>
  <c r="T68" i="17"/>
  <c r="T101" i="17" s="1"/>
  <c r="S68" i="17"/>
  <c r="R68" i="17"/>
  <c r="R103" i="17" s="1"/>
  <c r="Q68" i="17"/>
  <c r="Q103" i="17" s="1"/>
  <c r="P68" i="17"/>
  <c r="P101" i="17" s="1"/>
  <c r="O68" i="17"/>
  <c r="O101" i="17" s="1"/>
  <c r="N68" i="17"/>
  <c r="N101" i="17" s="1"/>
  <c r="M68" i="17"/>
  <c r="L68" i="17"/>
  <c r="K68" i="17"/>
  <c r="K101" i="17" s="1"/>
  <c r="J68" i="17"/>
  <c r="J101" i="17" s="1"/>
  <c r="I68" i="17"/>
  <c r="I101" i="17" s="1"/>
  <c r="H68" i="17"/>
  <c r="G68" i="17"/>
  <c r="G103" i="17" s="1"/>
  <c r="F68" i="17"/>
  <c r="F103" i="17" s="1"/>
  <c r="E68" i="17"/>
  <c r="E101" i="17" s="1"/>
  <c r="D68" i="17"/>
  <c r="D101" i="17" s="1"/>
  <c r="C68" i="17"/>
  <c r="C101" i="17" s="1"/>
  <c r="B68" i="17"/>
  <c r="Z67" i="17"/>
  <c r="Y67" i="17"/>
  <c r="Y100" i="17" s="1"/>
  <c r="X67" i="17"/>
  <c r="X100" i="17" s="1"/>
  <c r="W67" i="17"/>
  <c r="W100" i="17" s="1"/>
  <c r="V67" i="17"/>
  <c r="U67" i="17"/>
  <c r="U100" i="17" s="1"/>
  <c r="T67" i="17"/>
  <c r="T100" i="17" s="1"/>
  <c r="S67" i="17"/>
  <c r="S100" i="17" s="1"/>
  <c r="R67" i="17"/>
  <c r="R100" i="17" s="1"/>
  <c r="Q67" i="17"/>
  <c r="Q100" i="17" s="1"/>
  <c r="P67" i="17"/>
  <c r="O67" i="17"/>
  <c r="N67" i="17"/>
  <c r="N100" i="17" s="1"/>
  <c r="M67" i="17"/>
  <c r="M100" i="17" s="1"/>
  <c r="L67" i="17"/>
  <c r="L100" i="17" s="1"/>
  <c r="K67" i="17"/>
  <c r="J67" i="17"/>
  <c r="J100" i="17" s="1"/>
  <c r="I67" i="17"/>
  <c r="I100" i="17" s="1"/>
  <c r="H67" i="17"/>
  <c r="H100" i="17" s="1"/>
  <c r="G67" i="17"/>
  <c r="G100" i="17" s="1"/>
  <c r="F67" i="17"/>
  <c r="F100" i="17" s="1"/>
  <c r="E67" i="17"/>
  <c r="D67" i="17"/>
  <c r="C67" i="17"/>
  <c r="C100" i="17" s="1"/>
  <c r="B67" i="17"/>
  <c r="B100" i="17" s="1"/>
  <c r="Z66" i="17"/>
  <c r="Z99" i="17" s="1"/>
  <c r="Y66" i="17"/>
  <c r="X66" i="17"/>
  <c r="X101" i="17" s="1"/>
  <c r="W66" i="17"/>
  <c r="W101" i="17" s="1"/>
  <c r="V66" i="17"/>
  <c r="V99" i="17" s="1"/>
  <c r="U66" i="17"/>
  <c r="U99" i="17" s="1"/>
  <c r="T66" i="17"/>
  <c r="T99" i="17" s="1"/>
  <c r="S66" i="17"/>
  <c r="R66" i="17"/>
  <c r="Q66" i="17"/>
  <c r="Q99" i="17" s="1"/>
  <c r="P66" i="17"/>
  <c r="P99" i="17" s="1"/>
  <c r="O66" i="17"/>
  <c r="O99" i="17" s="1"/>
  <c r="N66" i="17"/>
  <c r="M66" i="17"/>
  <c r="M101" i="17" s="1"/>
  <c r="L66" i="17"/>
  <c r="L101" i="17" s="1"/>
  <c r="K66" i="17"/>
  <c r="K99" i="17" s="1"/>
  <c r="J66" i="17"/>
  <c r="J99" i="17" s="1"/>
  <c r="I66" i="17"/>
  <c r="I99" i="17" s="1"/>
  <c r="H66" i="17"/>
  <c r="G66" i="17"/>
  <c r="F66" i="17"/>
  <c r="F99" i="17" s="1"/>
  <c r="E66" i="17"/>
  <c r="E99" i="17" s="1"/>
  <c r="D66" i="17"/>
  <c r="D99" i="17" s="1"/>
  <c r="C66" i="17"/>
  <c r="B66" i="17"/>
  <c r="B101" i="17" s="1"/>
  <c r="Z65" i="17"/>
  <c r="Z98" i="17" s="1"/>
  <c r="Y65" i="17"/>
  <c r="Y98" i="17" s="1"/>
  <c r="X65" i="17"/>
  <c r="X98" i="17" s="1"/>
  <c r="W65" i="17"/>
  <c r="W98" i="17" s="1"/>
  <c r="V65" i="17"/>
  <c r="U65" i="17"/>
  <c r="T65" i="17"/>
  <c r="T98" i="17" s="1"/>
  <c r="S65" i="17"/>
  <c r="S98" i="17" s="1"/>
  <c r="R65" i="17"/>
  <c r="R98" i="17" s="1"/>
  <c r="Q65" i="17"/>
  <c r="P65" i="17"/>
  <c r="P98" i="17" s="1"/>
  <c r="O65" i="17"/>
  <c r="O98" i="17" s="1"/>
  <c r="N65" i="17"/>
  <c r="N98" i="17" s="1"/>
  <c r="M65" i="17"/>
  <c r="M98" i="17" s="1"/>
  <c r="L65" i="17"/>
  <c r="L98" i="17" s="1"/>
  <c r="K65" i="17"/>
  <c r="J65" i="17"/>
  <c r="I65" i="17"/>
  <c r="I98" i="17" s="1"/>
  <c r="H65" i="17"/>
  <c r="H98" i="17" s="1"/>
  <c r="G65" i="17"/>
  <c r="G98" i="17" s="1"/>
  <c r="F65" i="17"/>
  <c r="E65" i="17"/>
  <c r="E98" i="17" s="1"/>
  <c r="D65" i="17"/>
  <c r="D98" i="17" s="1"/>
  <c r="C65" i="17"/>
  <c r="C98" i="17" s="1"/>
  <c r="B65" i="17"/>
  <c r="B98" i="17" s="1"/>
  <c r="Z64" i="17"/>
  <c r="Z97" i="17" s="1"/>
  <c r="Y64" i="17"/>
  <c r="X64" i="17"/>
  <c r="W64" i="17"/>
  <c r="W97" i="17" s="1"/>
  <c r="V64" i="17"/>
  <c r="V97" i="17" s="1"/>
  <c r="U64" i="17"/>
  <c r="U97" i="17" s="1"/>
  <c r="T64" i="17"/>
  <c r="S64" i="17"/>
  <c r="S99" i="17" s="1"/>
  <c r="R64" i="17"/>
  <c r="R99" i="17" s="1"/>
  <c r="Q64" i="17"/>
  <c r="Q97" i="17" s="1"/>
  <c r="P64" i="17"/>
  <c r="P97" i="17" s="1"/>
  <c r="O64" i="17"/>
  <c r="O97" i="17" s="1"/>
  <c r="N64" i="17"/>
  <c r="M64" i="17"/>
  <c r="L64" i="17"/>
  <c r="L97" i="17" s="1"/>
  <c r="K64" i="17"/>
  <c r="K97" i="17" s="1"/>
  <c r="J64" i="17"/>
  <c r="J97" i="17" s="1"/>
  <c r="I64" i="17"/>
  <c r="H64" i="17"/>
  <c r="H99" i="17" s="1"/>
  <c r="G64" i="17"/>
  <c r="G99" i="17" s="1"/>
  <c r="F64" i="17"/>
  <c r="F97" i="17" s="1"/>
  <c r="E64" i="17"/>
  <c r="E97" i="17" s="1"/>
  <c r="D64" i="17"/>
  <c r="D97" i="17" s="1"/>
  <c r="C64" i="17"/>
  <c r="B64" i="17"/>
  <c r="Z63" i="17"/>
  <c r="Z96" i="17" s="1"/>
  <c r="Y63" i="17"/>
  <c r="Y96" i="17" s="1"/>
  <c r="X63" i="17"/>
  <c r="X96" i="17" s="1"/>
  <c r="W63" i="17"/>
  <c r="V63" i="17"/>
  <c r="V96" i="17" s="1"/>
  <c r="U63" i="17"/>
  <c r="U96" i="17" s="1"/>
  <c r="T63" i="17"/>
  <c r="T96" i="17" s="1"/>
  <c r="S63" i="17"/>
  <c r="S96" i="17" s="1"/>
  <c r="R63" i="17"/>
  <c r="R96" i="17" s="1"/>
  <c r="Q63" i="17"/>
  <c r="P63" i="17"/>
  <c r="O63" i="17"/>
  <c r="O96" i="17" s="1"/>
  <c r="N63" i="17"/>
  <c r="N96" i="17" s="1"/>
  <c r="M63" i="17"/>
  <c r="M96" i="17" s="1"/>
  <c r="L63" i="17"/>
  <c r="K63" i="17"/>
  <c r="K96" i="17" s="1"/>
  <c r="J63" i="17"/>
  <c r="J96" i="17" s="1"/>
  <c r="I63" i="17"/>
  <c r="I96" i="17" s="1"/>
  <c r="H63" i="17"/>
  <c r="H96" i="17" s="1"/>
  <c r="G63" i="17"/>
  <c r="G96" i="17" s="1"/>
  <c r="F63" i="17"/>
  <c r="E63" i="17"/>
  <c r="D63" i="17"/>
  <c r="D96" i="17" s="1"/>
  <c r="C63" i="17"/>
  <c r="C96" i="17" s="1"/>
  <c r="B63" i="17"/>
  <c r="B96" i="17" s="1"/>
  <c r="Z62" i="17"/>
  <c r="Y62" i="17"/>
  <c r="Y97" i="17" s="1"/>
  <c r="X62" i="17"/>
  <c r="X97" i="17" s="1"/>
  <c r="W62" i="17"/>
  <c r="W95" i="17" s="1"/>
  <c r="V62" i="17"/>
  <c r="V95" i="17" s="1"/>
  <c r="U62" i="17"/>
  <c r="U95" i="17" s="1"/>
  <c r="T62" i="17"/>
  <c r="S62" i="17"/>
  <c r="R62" i="17"/>
  <c r="R95" i="17" s="1"/>
  <c r="Q62" i="17"/>
  <c r="Q95" i="17" s="1"/>
  <c r="P62" i="17"/>
  <c r="P95" i="17" s="1"/>
  <c r="O62" i="17"/>
  <c r="N62" i="17"/>
  <c r="N97" i="17" s="1"/>
  <c r="M62" i="17"/>
  <c r="M97" i="17" s="1"/>
  <c r="L62" i="17"/>
  <c r="L95" i="17" s="1"/>
  <c r="K62" i="17"/>
  <c r="K95" i="17" s="1"/>
  <c r="J62" i="17"/>
  <c r="J95" i="17" s="1"/>
  <c r="I62" i="17"/>
  <c r="H62" i="17"/>
  <c r="G62" i="17"/>
  <c r="G95" i="17" s="1"/>
  <c r="F62" i="17"/>
  <c r="F95" i="17" s="1"/>
  <c r="E62" i="17"/>
  <c r="E95" i="17" s="1"/>
  <c r="D62" i="17"/>
  <c r="C62" i="17"/>
  <c r="C97" i="17" s="1"/>
  <c r="B62" i="17"/>
  <c r="B97" i="17" s="1"/>
  <c r="Z61" i="17"/>
  <c r="Z94" i="17" s="1"/>
  <c r="Y61" i="17"/>
  <c r="Y94" i="17" s="1"/>
  <c r="X61" i="17"/>
  <c r="X94" i="17" s="1"/>
  <c r="W61" i="17"/>
  <c r="V61" i="17"/>
  <c r="U61" i="17"/>
  <c r="U94" i="17" s="1"/>
  <c r="T61" i="17"/>
  <c r="T94" i="17" s="1"/>
  <c r="S61" i="17"/>
  <c r="S94" i="17" s="1"/>
  <c r="R61" i="17"/>
  <c r="Q61" i="17"/>
  <c r="Q94" i="17" s="1"/>
  <c r="P61" i="17"/>
  <c r="P94" i="17" s="1"/>
  <c r="O61" i="17"/>
  <c r="O94" i="17" s="1"/>
  <c r="N61" i="17"/>
  <c r="N94" i="17" s="1"/>
  <c r="M61" i="17"/>
  <c r="M94" i="17" s="1"/>
  <c r="L61" i="17"/>
  <c r="K61" i="17"/>
  <c r="J61" i="17"/>
  <c r="J94" i="17" s="1"/>
  <c r="I61" i="17"/>
  <c r="I94" i="17" s="1"/>
  <c r="H61" i="17"/>
  <c r="H94" i="17" s="1"/>
  <c r="G61" i="17"/>
  <c r="F61" i="17"/>
  <c r="F94" i="17" s="1"/>
  <c r="E61" i="17"/>
  <c r="E94" i="17" s="1"/>
  <c r="D61" i="17"/>
  <c r="D94" i="17" s="1"/>
  <c r="C61" i="17"/>
  <c r="C94" i="17" s="1"/>
  <c r="B61" i="17"/>
  <c r="B94" i="17" s="1"/>
  <c r="Z60" i="17"/>
  <c r="Y60" i="17"/>
  <c r="X60" i="17"/>
  <c r="X93" i="17" s="1"/>
  <c r="W60" i="17"/>
  <c r="W93" i="17" s="1"/>
  <c r="V60" i="17"/>
  <c r="V93" i="17" s="1"/>
  <c r="U60" i="17"/>
  <c r="T60" i="17"/>
  <c r="T95" i="17" s="1"/>
  <c r="S60" i="17"/>
  <c r="S95" i="17" s="1"/>
  <c r="R60" i="17"/>
  <c r="R93" i="17" s="1"/>
  <c r="Q60" i="17"/>
  <c r="Q93" i="17" s="1"/>
  <c r="P60" i="17"/>
  <c r="P93" i="17" s="1"/>
  <c r="O60" i="17"/>
  <c r="N60" i="17"/>
  <c r="M60" i="17"/>
  <c r="M93" i="17" s="1"/>
  <c r="L60" i="17"/>
  <c r="L93" i="17" s="1"/>
  <c r="K60" i="17"/>
  <c r="K93" i="17" s="1"/>
  <c r="J60" i="17"/>
  <c r="I60" i="17"/>
  <c r="I95" i="17" s="1"/>
  <c r="H60" i="17"/>
  <c r="H95" i="17" s="1"/>
  <c r="G60" i="17"/>
  <c r="G93" i="17" s="1"/>
  <c r="F60" i="17"/>
  <c r="F93" i="17" s="1"/>
  <c r="E60" i="17"/>
  <c r="E93" i="17" s="1"/>
  <c r="D60" i="17"/>
  <c r="C60" i="17"/>
  <c r="B60" i="17"/>
  <c r="B93" i="17" s="1"/>
  <c r="Z59" i="17"/>
  <c r="Z92" i="17" s="1"/>
  <c r="Y59" i="17"/>
  <c r="Y92" i="17" s="1"/>
  <c r="X59" i="17"/>
  <c r="W59" i="17"/>
  <c r="W92" i="17" s="1"/>
  <c r="V59" i="17"/>
  <c r="V92" i="17" s="1"/>
  <c r="U59" i="17"/>
  <c r="U92" i="17" s="1"/>
  <c r="T59" i="17"/>
  <c r="T92" i="17" s="1"/>
  <c r="S59" i="17"/>
  <c r="S92" i="17" s="1"/>
  <c r="R59" i="17"/>
  <c r="Q59" i="17"/>
  <c r="P59" i="17"/>
  <c r="P92" i="17" s="1"/>
  <c r="O59" i="17"/>
  <c r="O92" i="17" s="1"/>
  <c r="N59" i="17"/>
  <c r="N92" i="17" s="1"/>
  <c r="M59" i="17"/>
  <c r="L59" i="17"/>
  <c r="L92" i="17" s="1"/>
  <c r="K59" i="17"/>
  <c r="K92" i="17" s="1"/>
  <c r="J59" i="17"/>
  <c r="J92" i="17" s="1"/>
  <c r="I59" i="17"/>
  <c r="I92" i="17" s="1"/>
  <c r="H59" i="17"/>
  <c r="H92" i="17" s="1"/>
  <c r="G59" i="17"/>
  <c r="F59" i="17"/>
  <c r="E59" i="17"/>
  <c r="E92" i="17" s="1"/>
  <c r="D59" i="17"/>
  <c r="D92" i="17" s="1"/>
  <c r="C59" i="17"/>
  <c r="C92" i="17" s="1"/>
  <c r="B59" i="17"/>
  <c r="Z58" i="17"/>
  <c r="Z93" i="17" s="1"/>
  <c r="Y58" i="17"/>
  <c r="Y93" i="17" s="1"/>
  <c r="X58" i="17"/>
  <c r="X91" i="17" s="1"/>
  <c r="W58" i="17"/>
  <c r="W91" i="17" s="1"/>
  <c r="V58" i="17"/>
  <c r="V91" i="17" s="1"/>
  <c r="U58" i="17"/>
  <c r="T58" i="17"/>
  <c r="S58" i="17"/>
  <c r="S91" i="17" s="1"/>
  <c r="R58" i="17"/>
  <c r="R91" i="17" s="1"/>
  <c r="Q58" i="17"/>
  <c r="Q91" i="17" s="1"/>
  <c r="P58" i="17"/>
  <c r="O58" i="17"/>
  <c r="O93" i="17" s="1"/>
  <c r="N58" i="17"/>
  <c r="N93" i="17" s="1"/>
  <c r="M58" i="17"/>
  <c r="M91" i="17" s="1"/>
  <c r="L58" i="17"/>
  <c r="L91" i="17" s="1"/>
  <c r="K58" i="17"/>
  <c r="K91" i="17" s="1"/>
  <c r="J58" i="17"/>
  <c r="I58" i="17"/>
  <c r="H58" i="17"/>
  <c r="H91" i="17" s="1"/>
  <c r="G58" i="17"/>
  <c r="G91" i="17" s="1"/>
  <c r="F58" i="17"/>
  <c r="F91" i="17" s="1"/>
  <c r="E58" i="17"/>
  <c r="D58" i="17"/>
  <c r="D93" i="17" s="1"/>
  <c r="C58" i="17"/>
  <c r="C93" i="17" s="1"/>
  <c r="B58" i="17"/>
  <c r="B91" i="17" s="1"/>
  <c r="Z57" i="17"/>
  <c r="Z90" i="17" s="1"/>
  <c r="Y57" i="17"/>
  <c r="Y90" i="17" s="1"/>
  <c r="X57" i="17"/>
  <c r="W57" i="17"/>
  <c r="V57" i="17"/>
  <c r="V90" i="17" s="1"/>
  <c r="U57" i="17"/>
  <c r="U90" i="17" s="1"/>
  <c r="T57" i="17"/>
  <c r="T90" i="17" s="1"/>
  <c r="S57" i="17"/>
  <c r="R57" i="17"/>
  <c r="R90" i="17" s="1"/>
  <c r="Q57" i="17"/>
  <c r="Q90" i="17" s="1"/>
  <c r="P57" i="17"/>
  <c r="P90" i="17" s="1"/>
  <c r="O57" i="17"/>
  <c r="O90" i="17" s="1"/>
  <c r="N57" i="17"/>
  <c r="N90" i="17" s="1"/>
  <c r="M57" i="17"/>
  <c r="L57" i="17"/>
  <c r="K57" i="17"/>
  <c r="K90" i="17" s="1"/>
  <c r="J57" i="17"/>
  <c r="J90" i="17" s="1"/>
  <c r="I57" i="17"/>
  <c r="I90" i="17" s="1"/>
  <c r="H57" i="17"/>
  <c r="G57" i="17"/>
  <c r="G90" i="17" s="1"/>
  <c r="F57" i="17"/>
  <c r="F90" i="17" s="1"/>
  <c r="E57" i="17"/>
  <c r="E90" i="17" s="1"/>
  <c r="D57" i="17"/>
  <c r="D90" i="17" s="1"/>
  <c r="C57" i="17"/>
  <c r="C90" i="17" s="1"/>
  <c r="B57" i="17"/>
  <c r="Z56" i="17"/>
  <c r="Y56" i="17"/>
  <c r="Y89" i="17" s="1"/>
  <c r="X56" i="17"/>
  <c r="X89" i="17" s="1"/>
  <c r="W56" i="17"/>
  <c r="W89" i="17" s="1"/>
  <c r="V56" i="17"/>
  <c r="U56" i="17"/>
  <c r="U91" i="17" s="1"/>
  <c r="T56" i="17"/>
  <c r="T91" i="17" s="1"/>
  <c r="S56" i="17"/>
  <c r="S89" i="17" s="1"/>
  <c r="R56" i="17"/>
  <c r="R89" i="17" s="1"/>
  <c r="Q56" i="17"/>
  <c r="Q89" i="17" s="1"/>
  <c r="P56" i="17"/>
  <c r="O56" i="17"/>
  <c r="N56" i="17"/>
  <c r="N89" i="17" s="1"/>
  <c r="M56" i="17"/>
  <c r="M89" i="17" s="1"/>
  <c r="L56" i="17"/>
  <c r="L89" i="17" s="1"/>
  <c r="K56" i="17"/>
  <c r="J56" i="17"/>
  <c r="J91" i="17" s="1"/>
  <c r="I56" i="17"/>
  <c r="I91" i="17" s="1"/>
  <c r="H56" i="17"/>
  <c r="H89" i="17" s="1"/>
  <c r="G56" i="17"/>
  <c r="G89" i="17" s="1"/>
  <c r="F56" i="17"/>
  <c r="F89" i="17" s="1"/>
  <c r="E56" i="17"/>
  <c r="D56" i="17"/>
  <c r="C56" i="17"/>
  <c r="C89" i="17" s="1"/>
  <c r="B56" i="17"/>
  <c r="B89" i="17" s="1"/>
  <c r="Z55" i="17"/>
  <c r="Z88" i="17" s="1"/>
  <c r="Y55" i="17"/>
  <c r="X55" i="17"/>
  <c r="X88" i="17" s="1"/>
  <c r="W55" i="17"/>
  <c r="W88" i="17" s="1"/>
  <c r="V55" i="17"/>
  <c r="V88" i="17" s="1"/>
  <c r="U55" i="17"/>
  <c r="U88" i="17" s="1"/>
  <c r="T55" i="17"/>
  <c r="T88" i="17" s="1"/>
  <c r="S55" i="17"/>
  <c r="R55" i="17"/>
  <c r="Q55" i="17"/>
  <c r="Q88" i="17" s="1"/>
  <c r="P55" i="17"/>
  <c r="P88" i="17" s="1"/>
  <c r="O55" i="17"/>
  <c r="O88" i="17" s="1"/>
  <c r="N55" i="17"/>
  <c r="M55" i="17"/>
  <c r="M88" i="17" s="1"/>
  <c r="L55" i="17"/>
  <c r="L88" i="17" s="1"/>
  <c r="K55" i="17"/>
  <c r="K88" i="17" s="1"/>
  <c r="J55" i="17"/>
  <c r="J88" i="17" s="1"/>
  <c r="I55" i="17"/>
  <c r="I88" i="17" s="1"/>
  <c r="H55" i="17"/>
  <c r="G55" i="17"/>
  <c r="F55" i="17"/>
  <c r="F88" i="17" s="1"/>
  <c r="E55" i="17"/>
  <c r="E88" i="17" s="1"/>
  <c r="D55" i="17"/>
  <c r="D88" i="17" s="1"/>
  <c r="C55" i="17"/>
  <c r="B55" i="17"/>
  <c r="B88" i="17" s="1"/>
  <c r="B11" i="17"/>
  <c r="I117" i="17" l="1"/>
  <c r="I89" i="17"/>
  <c r="T89" i="17"/>
  <c r="C91" i="17"/>
  <c r="N91" i="17"/>
  <c r="Y91" i="17"/>
  <c r="H93" i="17"/>
  <c r="S93" i="17"/>
  <c r="B95" i="17"/>
  <c r="M95" i="17"/>
  <c r="X95" i="17"/>
  <c r="G97" i="17"/>
  <c r="R97" i="17"/>
  <c r="L99" i="17"/>
  <c r="W99" i="17"/>
  <c r="F101" i="17"/>
  <c r="Q101" i="17"/>
  <c r="K103" i="17"/>
  <c r="V103" i="17"/>
  <c r="E105" i="17"/>
  <c r="P105" i="17"/>
  <c r="J107" i="17"/>
  <c r="U107" i="17"/>
  <c r="D109" i="17"/>
  <c r="O109" i="17"/>
  <c r="Z109" i="17"/>
  <c r="I111" i="17"/>
  <c r="T111" i="17"/>
  <c r="C113" i="17"/>
  <c r="N113" i="17"/>
  <c r="Y113" i="17"/>
  <c r="H115" i="17"/>
  <c r="S115" i="17"/>
  <c r="B117" i="17"/>
  <c r="M117" i="17"/>
  <c r="X117" i="17"/>
  <c r="J89" i="17"/>
  <c r="U89" i="17"/>
  <c r="D91" i="17"/>
  <c r="O91" i="17"/>
  <c r="Z91" i="17"/>
  <c r="I93" i="17"/>
  <c r="T93" i="17"/>
  <c r="C95" i="17"/>
  <c r="N95" i="17"/>
  <c r="Y95" i="17"/>
  <c r="H97" i="17"/>
  <c r="S97" i="17"/>
  <c r="B99" i="17"/>
  <c r="M99" i="17"/>
  <c r="X99" i="17"/>
  <c r="G101" i="17"/>
  <c r="R101" i="17"/>
  <c r="L103" i="17"/>
  <c r="W103" i="17"/>
  <c r="F105" i="17"/>
  <c r="Q105" i="17"/>
  <c r="K107" i="17"/>
  <c r="V107" i="17"/>
  <c r="E109" i="17"/>
  <c r="P109" i="17"/>
  <c r="J111" i="17"/>
  <c r="U111" i="17"/>
  <c r="D113" i="17"/>
  <c r="O113" i="17"/>
  <c r="Z113" i="17"/>
  <c r="T115" i="17"/>
  <c r="C117" i="17"/>
  <c r="N117" i="17"/>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<sst xmlns="http://schemas.openxmlformats.org/spreadsheetml/2006/main" count="1496" uniqueCount="447">
  <si>
    <t>Table of contents</t>
  </si>
  <si>
    <t>Fieldwork: 05.01.2026 - 12.01.2026</t>
  </si>
  <si>
    <t>VOLUME B (Weighted)</t>
  </si>
  <si>
    <t>Q. No.</t>
  </si>
  <si>
    <t>Title</t>
  </si>
  <si>
    <t>Base</t>
  </si>
  <si>
    <t>Q1.1</t>
  </si>
  <si>
    <t>Base: All</t>
  </si>
  <si>
    <t>Q1.2</t>
  </si>
  <si>
    <t>Q2</t>
  </si>
  <si>
    <t>Q3.1</t>
  </si>
  <si>
    <t>Q3.2</t>
  </si>
  <si>
    <t>Q4.2</t>
  </si>
  <si>
    <t>DX1</t>
  </si>
  <si>
    <t>DX2</t>
  </si>
  <si>
    <t>DX5</t>
  </si>
  <si>
    <t>DX7</t>
  </si>
  <si>
    <t>DX8</t>
  </si>
  <si>
    <t>DX9</t>
  </si>
  <si>
    <t>Flash Eurobarometer 574 "The EU in Defence and Space"</t>
  </si>
  <si>
    <t>Q1.1. Given the current international context, to what extent do you agree or disagree with each of the following statements?  The security of (OUR COUNTRY) is threatened</t>
  </si>
  <si>
    <t>EU27</t>
  </si>
  <si>
    <t>Gender</t>
  </si>
  <si>
    <t>Age</t>
  </si>
  <si>
    <t>Education (age of end of…)</t>
  </si>
  <si>
    <t>Occupation</t>
  </si>
  <si>
    <t>Subjective urbanisation</t>
  </si>
  <si>
    <t>Household size (15+)</t>
  </si>
  <si>
    <t>The security of (Our Country) is threatened</t>
  </si>
  <si>
    <t>My personal safety is at risk</t>
  </si>
  <si>
    <t>Male</t>
  </si>
  <si>
    <t>Female</t>
  </si>
  <si>
    <t>15-24 years</t>
  </si>
  <si>
    <t>25-39 years</t>
  </si>
  <si>
    <t>40-54 years</t>
  </si>
  <si>
    <t>55+ years</t>
  </si>
  <si>
    <t xml:space="preserve">15 years and below  </t>
  </si>
  <si>
    <t>16 to 19 years</t>
  </si>
  <si>
    <t>20 years and above</t>
  </si>
  <si>
    <t xml:space="preserve">Self-Employed  </t>
  </si>
  <si>
    <t>Employee</t>
  </si>
  <si>
    <t>Manual Worker</t>
  </si>
  <si>
    <t>Not Working</t>
  </si>
  <si>
    <t>Large town</t>
  </si>
  <si>
    <t>Small or middle sized town</t>
  </si>
  <si>
    <t>Rural area or village</t>
  </si>
  <si>
    <t>4+</t>
  </si>
  <si>
    <t>Total Agree</t>
  </si>
  <si>
    <t>Total Disagree</t>
  </si>
  <si>
    <t>Base: Total (unweighted)</t>
  </si>
  <si>
    <t>Base: Total (weighted)</t>
  </si>
  <si>
    <t>Strongly agree</t>
  </si>
  <si>
    <t>Somewhat agree</t>
  </si>
  <si>
    <t>Somewhat disagree</t>
  </si>
  <si>
    <t>Strongly disagree</t>
  </si>
  <si>
    <t>Don't know</t>
  </si>
  <si>
    <t>Q1.2. Given the current international context, to what extent do you agree or disagree with each of the following statements?  My personal safety is at risk</t>
  </si>
  <si>
    <t>Q2. To what extent do you trust the European Union to strengthen security and defence in Europe and better protect its citizens?</t>
  </si>
  <si>
    <t>Completely trust</t>
  </si>
  <si>
    <t>Tend to trust</t>
  </si>
  <si>
    <t>Tend not to trust</t>
  </si>
  <si>
    <t>Do not trust at all</t>
  </si>
  <si>
    <t>Q3.1. Thinking about current levels of public spending, how would you assess the level of investment made by each of the following, in defence and security programmes?  The European Union</t>
  </si>
  <si>
    <t>Not enough</t>
  </si>
  <si>
    <t>About the right amount</t>
  </si>
  <si>
    <t>Too much</t>
  </si>
  <si>
    <t>Q3.2. Thinking about current levels of public spending, how would you assess the level of investment made by each of the following, in defence and security programmes?  (OUR COUNTRY)</t>
  </si>
  <si>
    <t>Q4.1. In your opinion, how much impact do the European Union’s space programmes, such as Galileo/EGNOS, Copernicus and IRIS², have on…? The European economy</t>
  </si>
  <si>
    <t>A very important impact</t>
  </si>
  <si>
    <t>A fairly important impact</t>
  </si>
  <si>
    <t>A fairly limited impact</t>
  </si>
  <si>
    <t>No impact at all</t>
  </si>
  <si>
    <t>I have not heard about these programmes</t>
  </si>
  <si>
    <t>Q4.2. In your opinion, how much impact do the European Union’s space programmes, such as Galileo/EGNOS, Copernicus and IRIS², have on…? EU citizens' everyday lives</t>
  </si>
  <si>
    <t>Q5.A. Looking to the future, which of the following areas should be a priority for the European Union’s Space Policy and programmes? Firstly?</t>
  </si>
  <si>
    <t>Action on the environment and climate change</t>
  </si>
  <si>
    <t>Safer mobility and transport</t>
  </si>
  <si>
    <t>Connectivity and digital communications</t>
  </si>
  <si>
    <t>Security and defence</t>
  </si>
  <si>
    <t>Competitiveness and growth of European industry</t>
  </si>
  <si>
    <t>Sustainable and responsible use of space</t>
  </si>
  <si>
    <t>Other</t>
  </si>
  <si>
    <t>Q5.B. Looking to the future, which of the following areas should be a priority for the European Union’s Space Policy and programmes? Then?</t>
  </si>
  <si>
    <t>Base: Q5.A = 1,2,3,4,5,6</t>
  </si>
  <si>
    <t>Q5.TOTAL. Looking to the future, which of the following areas should be a priority for the European Union’s Space Policy and programmes? (Total)</t>
  </si>
  <si>
    <t>DX1. How old are you?</t>
  </si>
  <si>
    <t>DX2. What is your sex?</t>
  </si>
  <si>
    <t>In another way</t>
  </si>
  <si>
    <t>Prefer not to say</t>
  </si>
  <si>
    <t>Home</t>
  </si>
  <si>
    <t>DX3.A. What is your nationality or nationalities if you hold more than one?</t>
  </si>
  <si>
    <t>[COUNTRY] nationality</t>
  </si>
  <si>
    <t>Other nationality</t>
  </si>
  <si>
    <t>Refusal</t>
  </si>
  <si>
    <t>DX3.B. Which nationality or nationalities do you hold?</t>
  </si>
  <si>
    <t>Base: DX3.A = 2</t>
  </si>
  <si>
    <t>Belgian</t>
  </si>
  <si>
    <t>Danish</t>
  </si>
  <si>
    <t>German</t>
  </si>
  <si>
    <t>Greek</t>
  </si>
  <si>
    <t>Spanish</t>
  </si>
  <si>
    <t>Finnish</t>
  </si>
  <si>
    <t>French</t>
  </si>
  <si>
    <t xml:space="preserve"> Irish</t>
  </si>
  <si>
    <t>Italian</t>
  </si>
  <si>
    <t>Luxembourgish</t>
  </si>
  <si>
    <t>Dutch</t>
  </si>
  <si>
    <t>Austrian</t>
  </si>
  <si>
    <t>Portuguese</t>
  </si>
  <si>
    <t>Swedish</t>
  </si>
  <si>
    <t>Bulgarian</t>
  </si>
  <si>
    <t>Cypriot</t>
  </si>
  <si>
    <t>Czech</t>
  </si>
  <si>
    <t>Estonian</t>
  </si>
  <si>
    <t>Hungarian</t>
  </si>
  <si>
    <t>Latvian</t>
  </si>
  <si>
    <t>Lithuanian</t>
  </si>
  <si>
    <t>Maltese</t>
  </si>
  <si>
    <t>Polish</t>
  </si>
  <si>
    <t>Romanian</t>
  </si>
  <si>
    <t>Slovak</t>
  </si>
  <si>
    <t>Slovenian</t>
  </si>
  <si>
    <t>Croatian</t>
  </si>
  <si>
    <t>DX3.C. Are you a permanent resident of [COUNTRY]?</t>
  </si>
  <si>
    <t>Base: DX3.B != 998 or 999 and DX3.A != 1</t>
  </si>
  <si>
    <t>Yes</t>
  </si>
  <si>
    <t>No</t>
  </si>
  <si>
    <t>DX4. In which region do you live?</t>
  </si>
  <si>
    <t>Burgenland</t>
  </si>
  <si>
    <t>Niederösterreich</t>
  </si>
  <si>
    <t>Wien</t>
  </si>
  <si>
    <t>Kärnten</t>
  </si>
  <si>
    <t>Steiermark</t>
  </si>
  <si>
    <t>Oberösterreich</t>
  </si>
  <si>
    <t>Salzburg</t>
  </si>
  <si>
    <t>Tirol</t>
  </si>
  <si>
    <t>Vorarlberg</t>
  </si>
  <si>
    <t>Région de Bruxelles-Capitale</t>
  </si>
  <si>
    <t>Prov. Antwerpen</t>
  </si>
  <si>
    <t>Prov. Limburg (BE)</t>
  </si>
  <si>
    <t>Prov. Oost-Vlaanderen</t>
  </si>
  <si>
    <t>Prov. Vlaams-Brabant</t>
  </si>
  <si>
    <t>Prov. West-Vlaanderen</t>
  </si>
  <si>
    <t>Prov. Brabant wallon</t>
  </si>
  <si>
    <t>Prov. Hainaut</t>
  </si>
  <si>
    <t>Prov. Liège</t>
  </si>
  <si>
    <t>Prov. Luxembourg (BE)</t>
  </si>
  <si>
    <t>Prov. Namur</t>
  </si>
  <si>
    <t>Северозападен район за планиране</t>
  </si>
  <si>
    <t>Северен централен район за планиране</t>
  </si>
  <si>
    <t>Североизточен район за планиране</t>
  </si>
  <si>
    <t>Югоизточен район за планиране</t>
  </si>
  <si>
    <t>Югозападен район за планиране</t>
  </si>
  <si>
    <t>Южен централен район за планиране</t>
  </si>
  <si>
    <t>Kýpros</t>
  </si>
  <si>
    <t>Praha</t>
  </si>
  <si>
    <t>Střední Čechy</t>
  </si>
  <si>
    <t>Jihozápad</t>
  </si>
  <si>
    <t>Severozápad</t>
  </si>
  <si>
    <t>Severovýchod</t>
  </si>
  <si>
    <t>Jihovýchod</t>
  </si>
  <si>
    <t>Střední Morava</t>
  </si>
  <si>
    <t>Moravskoslezsko</t>
  </si>
  <si>
    <t>Baden-Württemberg</t>
  </si>
  <si>
    <t>Bayern</t>
  </si>
  <si>
    <t>Berlin</t>
  </si>
  <si>
    <t>Brandenburg</t>
  </si>
  <si>
    <t>Bremen</t>
  </si>
  <si>
    <t>Hamburg</t>
  </si>
  <si>
    <t>Hessen</t>
  </si>
  <si>
    <t>Mecklenburg-Vorpommern</t>
  </si>
  <si>
    <t>Niedersachsen</t>
  </si>
  <si>
    <t>Nordrhein-Westfalen</t>
  </si>
  <si>
    <t>Rheinland-Pfalz</t>
  </si>
  <si>
    <t>Saarland</t>
  </si>
  <si>
    <t>Sachsen</t>
  </si>
  <si>
    <t>Sachsen-Anhalt</t>
  </si>
  <si>
    <t>Schleswig-Holstein</t>
  </si>
  <si>
    <t>Thüringen</t>
  </si>
  <si>
    <t>Hovedstaden</t>
  </si>
  <si>
    <t>Sjælland</t>
  </si>
  <si>
    <t>Syddanmark</t>
  </si>
  <si>
    <t>Midtjylland</t>
  </si>
  <si>
    <t>Nordjylland</t>
  </si>
  <si>
    <t>Eesti</t>
  </si>
  <si>
    <t>Attiki</t>
  </si>
  <si>
    <t>Nisia Aigaiou Kriti</t>
  </si>
  <si>
    <t>Voreia Elláda</t>
  </si>
  <si>
    <t>Kentriki Elláda</t>
  </si>
  <si>
    <t>Galicia</t>
  </si>
  <si>
    <t>Principado de Asturias</t>
  </si>
  <si>
    <t>Cantabria</t>
  </si>
  <si>
    <t>País Vasco</t>
  </si>
  <si>
    <t>Comunidad Foral de Navarra</t>
  </si>
  <si>
    <t>La Rioja</t>
  </si>
  <si>
    <t>Aragón</t>
  </si>
  <si>
    <t>Comunidad de Madrid</t>
  </si>
  <si>
    <t>Castilla y León</t>
  </si>
  <si>
    <t>Castilla-La Mancha</t>
  </si>
  <si>
    <t>Extremadura</t>
  </si>
  <si>
    <t>Cataluña</t>
  </si>
  <si>
    <t>Comunitat Valenciana</t>
  </si>
  <si>
    <t>Illes Balears</t>
  </si>
  <si>
    <t>Andalucía</t>
  </si>
  <si>
    <t>Región de Murcia</t>
  </si>
  <si>
    <t>Ciudad de Ceuta</t>
  </si>
  <si>
    <t>Ciudad de Melilla</t>
  </si>
  <si>
    <t>Canarias</t>
  </si>
  <si>
    <t>Länsi-Suomi</t>
  </si>
  <si>
    <t>Helsinki-Uusimaa</t>
  </si>
  <si>
    <t>Etelä-Suomi</t>
  </si>
  <si>
    <t>Pohjois- ja Itä-Suomi</t>
  </si>
  <si>
    <t>Åland</t>
  </si>
  <si>
    <t>Ile de France</t>
  </si>
  <si>
    <t>Centre — Val de Loire</t>
  </si>
  <si>
    <t>Bourgogne-Franche-Comté</t>
  </si>
  <si>
    <t>Normandie</t>
  </si>
  <si>
    <t>Hauts-de-France</t>
  </si>
  <si>
    <t>Grand Est</t>
  </si>
  <si>
    <t>Pays de la Loire</t>
  </si>
  <si>
    <t>Bretagne</t>
  </si>
  <si>
    <t>Nouvelle-Aquitaine</t>
  </si>
  <si>
    <t>Occitanie</t>
  </si>
  <si>
    <t>Auvergne-Rhône-Alpes</t>
  </si>
  <si>
    <t>Provence-Alpes-Côte d'Azur</t>
  </si>
  <si>
    <t>Corse</t>
  </si>
  <si>
    <t>RUP FR — Régions Ultrapériphériques Françaises</t>
  </si>
  <si>
    <t>Panonska Hrvatska</t>
  </si>
  <si>
    <t>Jadranska Hrvatska</t>
  </si>
  <si>
    <t>Grad Zagreb</t>
  </si>
  <si>
    <t>Sjeverna Hrvatska</t>
  </si>
  <si>
    <t>Budapest</t>
  </si>
  <si>
    <t>Pest</t>
  </si>
  <si>
    <t>Közép-Dunántúl</t>
  </si>
  <si>
    <t>Nyugat-Dunántúl</t>
  </si>
  <si>
    <t>Dél-Dunántúl</t>
  </si>
  <si>
    <t>Észak-Magyarország</t>
  </si>
  <si>
    <t>Észak-Alföld</t>
  </si>
  <si>
    <t>Dél-Alföld</t>
  </si>
  <si>
    <t>Northern and Western</t>
  </si>
  <si>
    <t>Southern</t>
  </si>
  <si>
    <t>Eastern and Midland</t>
  </si>
  <si>
    <t>Piemonte</t>
  </si>
  <si>
    <t>Valle d'Aosta/Vallée d'Aoste</t>
  </si>
  <si>
    <t>Liguria</t>
  </si>
  <si>
    <t>Lombardia</t>
  </si>
  <si>
    <t>Abruzzo</t>
  </si>
  <si>
    <t>Molise</t>
  </si>
  <si>
    <t>Campania</t>
  </si>
  <si>
    <t>Puglia</t>
  </si>
  <si>
    <t>Basilicata</t>
  </si>
  <si>
    <t>Calabria</t>
  </si>
  <si>
    <t>Sicilia</t>
  </si>
  <si>
    <t>Sardegna</t>
  </si>
  <si>
    <t>Provincia Autonoma di Bolzano/Bozen</t>
  </si>
  <si>
    <t>Provincia Autonoma di Trento</t>
  </si>
  <si>
    <t>Veneto</t>
  </si>
  <si>
    <t>Friuli-Venezia Giulia</t>
  </si>
  <si>
    <t>Emilia-Romagna</t>
  </si>
  <si>
    <t>Toscana</t>
  </si>
  <si>
    <t>Umbria</t>
  </si>
  <si>
    <t>Marche</t>
  </si>
  <si>
    <t>Lazio</t>
  </si>
  <si>
    <t>Sostinės regionas</t>
  </si>
  <si>
    <t>Vidurio ir vakarų Lietuvos regionas</t>
  </si>
  <si>
    <t>Luxembourg</t>
  </si>
  <si>
    <t>Latvija</t>
  </si>
  <si>
    <t>Malta</t>
  </si>
  <si>
    <t>Groningen</t>
  </si>
  <si>
    <t>Friesland (NL)</t>
  </si>
  <si>
    <t>Drenthe</t>
  </si>
  <si>
    <t>Overijssel</t>
  </si>
  <si>
    <t>Gelderland</t>
  </si>
  <si>
    <t>Flevoland</t>
  </si>
  <si>
    <t>Utrecht (NUTS 2021)</t>
  </si>
  <si>
    <t>Noord-Holland</t>
  </si>
  <si>
    <t>Zuid-Holland (NUTS 2021)</t>
  </si>
  <si>
    <t>Zeeland</t>
  </si>
  <si>
    <t>Noord-Brabant</t>
  </si>
  <si>
    <t>Makroregion południowy</t>
  </si>
  <si>
    <t>Makroregion północno-zachodni</t>
  </si>
  <si>
    <t>Makroregion południowo-zachodni</t>
  </si>
  <si>
    <t>Makroregion północny</t>
  </si>
  <si>
    <t>Makroregion centralny</t>
  </si>
  <si>
    <t>Makroregion wschodni</t>
  </si>
  <si>
    <t>Makroregion województwo mazowieckie</t>
  </si>
  <si>
    <t>Norte</t>
  </si>
  <si>
    <t>Algarve</t>
  </si>
  <si>
    <t>Centro (PT) (NUTS 2021)</t>
  </si>
  <si>
    <t>Área Metropolitana de Lisboa (NUTS 2021)</t>
  </si>
  <si>
    <t>Alentejo (NUTS 2021)</t>
  </si>
  <si>
    <t>Região Autónoma dos Açores</t>
  </si>
  <si>
    <t>Região Autónoma da Madeira</t>
  </si>
  <si>
    <t>Nord-Vest</t>
  </si>
  <si>
    <t>Centru</t>
  </si>
  <si>
    <t>Nord-Est</t>
  </si>
  <si>
    <t>Sud-Est</t>
  </si>
  <si>
    <t>Sud-Muntenia</t>
  </si>
  <si>
    <t>Bucureşti-Ilfov</t>
  </si>
  <si>
    <t>Sud-Vest Oltenia</t>
  </si>
  <si>
    <t>Vest</t>
  </si>
  <si>
    <t>Stockholm</t>
  </si>
  <si>
    <t>Östra Mellansverige</t>
  </si>
  <si>
    <t>Småland med öarna</t>
  </si>
  <si>
    <t>Sydsverige</t>
  </si>
  <si>
    <t>Västsverige</t>
  </si>
  <si>
    <t>Norra Mellansverige</t>
  </si>
  <si>
    <t>Mellersta Norrland</t>
  </si>
  <si>
    <t>Övre Norrland</t>
  </si>
  <si>
    <t>Vzhodna Slovenija</t>
  </si>
  <si>
    <t>Zahodna Slovenija</t>
  </si>
  <si>
    <t>Bratislavský kraj</t>
  </si>
  <si>
    <t>Západné Slovensko</t>
  </si>
  <si>
    <t>Stredné Slovensko</t>
  </si>
  <si>
    <t>Východné Slovensko</t>
  </si>
  <si>
    <t>Flash Eurobarometer 571 "Barriers to attracting foreign workers"</t>
  </si>
  <si>
    <t>Fieldwork: 01.12.2025 - 16.12.2025</t>
  </si>
  <si>
    <t>VOLUME C (Weighted)</t>
  </si>
  <si>
    <t>Q15. Over the past 24 months, was it difficult or not for your company to…? Which kind of support services would be the most useful for your company to help with the recruitment of third country national workers from outside the EU? And then?</t>
  </si>
  <si>
    <t>Croatia</t>
  </si>
  <si>
    <t>Company Size</t>
  </si>
  <si>
    <t>Main Activity</t>
  </si>
  <si>
    <t>Company Turnover</t>
  </si>
  <si>
    <t>Years in activity</t>
  </si>
  <si>
    <t>Hired people in the last 24 months</t>
  </si>
  <si>
    <t>Intend to Hire in the coming 24 months</t>
  </si>
  <si>
    <t>Company Location</t>
  </si>
  <si>
    <t>1-9 employees</t>
  </si>
  <si>
    <t>10-49 employees</t>
  </si>
  <si>
    <t>50-249 employees</t>
  </si>
  <si>
    <t>Manufacturing</t>
  </si>
  <si>
    <t>Industry</t>
  </si>
  <si>
    <t>Retail</t>
  </si>
  <si>
    <t>Service</t>
  </si>
  <si>
    <t>Less than 100,000</t>
  </si>
  <si>
    <t>100,000 to 500,000</t>
  </si>
  <si>
    <t>500,000 to 10,000,000</t>
  </si>
  <si>
    <t>10 million euros and more</t>
  </si>
  <si>
    <t>Less than 1 year</t>
  </si>
  <si>
    <t>1-5 years</t>
  </si>
  <si>
    <t>6-10 years</t>
  </si>
  <si>
    <t>11 years or more</t>
  </si>
  <si>
    <t>A rural area</t>
  </si>
  <si>
    <t>A town with less than 20,000 inhabitants</t>
  </si>
  <si>
    <t>A town/city between 20,000 and less than 100,000 inhabitants</t>
  </si>
  <si>
    <t>A city between 100,000 and less than 500,000 inhabitants</t>
  </si>
  <si>
    <t>A city with 500,000 inhabitants or more</t>
  </si>
  <si>
    <t>Information and guidance on how to recruit third country national workers (channels, procedures, legal requirements)</t>
  </si>
  <si>
    <t>Financial support (grants, subsidies, tax incentives)</t>
  </si>
  <si>
    <t>Support for finding and connecting with suitable candidates (job portals, matching services, recruitment agencies...)</t>
  </si>
  <si>
    <t>Immigration and relocation assistance (visa, permits, travel)</t>
  </si>
  <si>
    <t>Workplace integration support (onboarding, language, cultural orientation)</t>
  </si>
  <si>
    <t>Integration support outside the workplace (housing, services, family)</t>
  </si>
  <si>
    <t>Other (DO NOT READ OUT)</t>
  </si>
  <si>
    <t>My company does not need external support (DO NOT READ OUT)</t>
  </si>
  <si>
    <t>Don't know / No Answer (DO NOT READ OUT)</t>
  </si>
  <si>
    <t>Flash Eurobarometer 571</t>
  </si>
  <si>
    <t>Fieldwork: 30.11.2025 - 31.12.2025</t>
  </si>
  <si>
    <t>QDX4. What is the average age of your employees?</t>
  </si>
  <si>
    <t>Base: Total</t>
  </si>
  <si>
    <t>Under 20 years</t>
  </si>
  <si>
    <t>20-29 years</t>
  </si>
  <si>
    <t>30-39 years</t>
  </si>
  <si>
    <t>40-49 years</t>
  </si>
  <si>
    <t>50 or above years</t>
  </si>
  <si>
    <t>Don't know/No Answer (DO NOT READ OUT)</t>
  </si>
  <si>
    <t>QDX8. Compared to 2023, has your company's annual turnover increased, decreased or remained unchanged?</t>
  </si>
  <si>
    <t>Increased</t>
  </si>
  <si>
    <t>Decreased</t>
  </si>
  <si>
    <t>Remained unchanged</t>
  </si>
  <si>
    <t>Not applicable (DO NOT READ OUT)</t>
  </si>
  <si>
    <t>DX5. How old were you when you stopped full-time education?</t>
  </si>
  <si>
    <t xml:space="preserve">15 years and below </t>
  </si>
  <si>
    <t>Don't Know/Refusal</t>
  </si>
  <si>
    <t>DX6.A. As far as your current occupation is concerned, would you say you are...?</t>
  </si>
  <si>
    <t>Self-employed</t>
  </si>
  <si>
    <t>Manual worker</t>
  </si>
  <si>
    <t>Not working</t>
  </si>
  <si>
    <t>DX6.B. If self-employed, what is your current occupation?</t>
  </si>
  <si>
    <t>Base: DX6.A = 1</t>
  </si>
  <si>
    <t>Farmer, forester, fisherman</t>
  </si>
  <si>
    <t>Owner of shop, craftsman</t>
  </si>
  <si>
    <t>Professional (lawyer, medical practitioner, accountant, architect,…)</t>
  </si>
  <si>
    <t>Manager of a company</t>
  </si>
  <si>
    <t>DX6.C. If an employee, what is your current occupation?</t>
  </si>
  <si>
    <t>Base: DX6.A = 2</t>
  </si>
  <si>
    <t>Professional (employed doctor, lawyer, accountant, architect, …)</t>
  </si>
  <si>
    <t>General management, director or top management</t>
  </si>
  <si>
    <t>Middle management</t>
  </si>
  <si>
    <t>Civil servant</t>
  </si>
  <si>
    <t>Office clerk</t>
  </si>
  <si>
    <t>Other employee (salesman, nurse, …)</t>
  </si>
  <si>
    <t>DX6.D. If a manual worker, what is your current occupation?</t>
  </si>
  <si>
    <t>Base: DX6.A = 3</t>
  </si>
  <si>
    <t>Supervisor/foreman (team manager, …)</t>
  </si>
  <si>
    <t>Unskilled manual worker</t>
  </si>
  <si>
    <t>DX6.E. If not working, what is your current occupation?</t>
  </si>
  <si>
    <t>Base: DX6.A = 4</t>
  </si>
  <si>
    <t>Looking after the home</t>
  </si>
  <si>
    <t>Student (full-time)</t>
  </si>
  <si>
    <t>Retired</t>
  </si>
  <si>
    <t>Seeking a job</t>
  </si>
  <si>
    <t>DX7. Would you say you live in...?</t>
  </si>
  <si>
    <t>DX8. How many people aged 15 years or more live in your household, yourself included?</t>
  </si>
  <si>
    <t>DX9. How many children under the age of 15 are living in your household?</t>
  </si>
  <si>
    <t>1</t>
  </si>
  <si>
    <t>2</t>
  </si>
  <si>
    <t>3</t>
  </si>
  <si>
    <t>DK/Refusal</t>
  </si>
  <si>
    <t>Total 'agree'</t>
  </si>
  <si>
    <t>Total 'disagree'</t>
  </si>
  <si>
    <t>Total 'trust'</t>
  </si>
  <si>
    <t>Total 'not to trust'</t>
  </si>
  <si>
    <t>Total 'impactful'</t>
  </si>
  <si>
    <t>Total 'not impactful'</t>
  </si>
  <si>
    <t>Base: EU27 (All)</t>
  </si>
  <si>
    <t>If self-employed, what is your current occupation?</t>
  </si>
  <si>
    <t>If an employee, what is your current occupation?</t>
  </si>
  <si>
    <t>If a manual worker, what is your current occupation?</t>
  </si>
  <si>
    <t>If not working, what is your current occupation?</t>
  </si>
  <si>
    <t>Given the current international context, to what extent do you agree or disagree with each of the following statements?  The security of (OUR COUNTRY) is threatened</t>
  </si>
  <si>
    <t>Given the current international context, to what extent do you agree or disagree with each of the following statements?  My personal safety is at risk</t>
  </si>
  <si>
    <t>To what extent do you trust the European Union to strengthen security and defence in Europe and better protect its citizens?</t>
  </si>
  <si>
    <t>Thinking about current levels of public spending, how would you assess the level of investment made by each of the following, in defence and security programmes?  The European Union</t>
  </si>
  <si>
    <t>Thinking about current levels of public spending, how would you assess the level of investment made by each of the following, in defence and security programmes?  (OUR COUNTRY)</t>
  </si>
  <si>
    <t>In your opinion, how much impact do the European Union’s space programmes, such as Galileo/EGNOS, Copernicus and IRIS², have on…? EU citizens' everyday lives</t>
  </si>
  <si>
    <t>Looking to the future, which of the following areas should be a priority for the European Union’s Space Policy and programmes? Firstly?</t>
  </si>
  <si>
    <t>Looking to the future, which of the following areas should be a priority for the European Union’s Space Policy and programmes? (Total)</t>
  </si>
  <si>
    <t>How old are you?</t>
  </si>
  <si>
    <t>What is your sex?</t>
  </si>
  <si>
    <t>How old were you when you stopped full-time education?</t>
  </si>
  <si>
    <t>As far as your current occupation is concerned, would you say you are...?</t>
  </si>
  <si>
    <t>Would you say you live in...?</t>
  </si>
  <si>
    <t>How many people aged 15 years or more live in your household, yourself included?</t>
  </si>
  <si>
    <t>How many children under the age of 15 are living in your household?</t>
  </si>
  <si>
    <t>Q5a</t>
  </si>
  <si>
    <t>Q5T</t>
  </si>
  <si>
    <t>DX6a</t>
  </si>
  <si>
    <t>DX6b</t>
  </si>
  <si>
    <t>DX6c</t>
  </si>
  <si>
    <t>DX6d</t>
  </si>
  <si>
    <t>DX6e</t>
  </si>
  <si>
    <t>Flash Eurobarometer 574 "The EU in defence and space"</t>
  </si>
  <si>
    <t>Base: DX6a = 1</t>
  </si>
  <si>
    <t>Base: DX6a = 2</t>
  </si>
  <si>
    <t>Base: DX6a = 3</t>
  </si>
  <si>
    <t>Base: DX6a =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</si>
</sst>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u/>
      <sz val="11"/>
      <color theme="10"/>
      <name val="Aptos Narrow"/>
      <family val="2"/>
      <scheme val="minor"/>
    </font>
    <font>
      <sz val="14"/>
      <color rgb="FF3D3C3E"/>
      <name val="EC Square Sans Pro"/>
      <family val="2"/>
    </font>
    <font>
      <b/>
      <sz val="14"/>
      <color rgb="FF3D3C3E"/>
      <name val="EC Square Sans Pro"/>
      <family val="2"/>
    </font>
    <font>
      <sz val="10"/>
      <color rgb="FF3D3C3E"/>
      <name val="EC Square Sans Pro"/>
      <family val="2"/>
    </font>
    <font>
      <b/>
      <sz val="10"/>
      <color rgb="FF3D3C3E"/>
      <name val="EC Square Sans Pro"/>
      <family val="2"/>
    </font>
    <font>
      <u/>
      <sz val="14"/>
      <color rgb="FF0563C1"/>
      <name val="EC Square Sans Pro"/>
      <family val="2"/>
    </font>
    <font>
      <sz val="14"/>
      <color theme="1"/>
      <name val="EC Square Sans Pro"/>
      <family val="2"/>
    </font>
    <font>
      <b/>
      <sz val="14"/>
      <color theme="1"/>
      <name val="EC Square Sans Pro"/>
      <family val="2"/>
    </font>
    <font>
      <b/>
      <sz val="14"/>
      <color rgb="FF000000"/>
      <name val="EC Square Sans Pro"/>
      <family val="2"/>
    </font>
    <font>
      <b/>
      <sz val="10"/>
      <color theme="1"/>
      <name val="EC Square Sans Pro"/>
      <family val="2"/>
    </font>
    <font>
      <sz val="10"/>
      <color theme="1"/>
      <name val="EC Square Sans Pro"/>
      <family val="2"/>
    </font>
    <font>
      <u/>
      <sz val="14"/>
      <color rgb="FF467886"/>
      <name val="EC Square Sans Pro"/>
      <family val="2"/>
    </font>
    <font>
      <sz val="14"/>
      <color rgb="FF000000"/>
      <name val="EC Square Sans Pro"/>
      <family val="2"/>
    </font>
    <font>
      <b/>
      <sz val="14"/>
      <color rgb="FF0A0EB6"/>
      <name val="EC Square Sans Pro"/>
      <family val="2"/>
    </font>
    <font>
      <b/>
      <sz val="10"/>
      <color rgb="FF000000"/>
      <name val="EC Square Sans Pro"/>
      <family val="2"/>
    </font>
    <font>
      <b/>
      <u/>
      <sz val="14"/>
      <color rgb="FF0563C1"/>
      <name val="EC Square Sans Pro"/>
      <family val="2"/>
    </font>
    <font>
      <b/>
      <u/>
      <sz val="14"/>
      <color rgb="FF3D3C3E"/>
      <name val="EC Square Sans Pro"/>
      <family val="2"/>
    </font>
  </fonts>
  <fills count="3">
    <fill>
      <patternFill patternType="none"/>
    </fill>
    <fill>
      <patternFill patternType="gray125"/>
    </fill>
    <fill>
      <patternFill patternType="solid">
        <fgColor rgb="FFFFFF00"/>
        <bgColor rgb="FFFFFF00"/>
      </patternFill>
    </fill>
  </fills>
  <borders count="65">
    <border>
      <left/>
      <right/>
      <top/>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
      <left style="medium">
        <color theme="0" tint="-0.499984740745262"/>
      </left>
      <right style="medium">
        <color theme="0" tint="-0.499984740745262"/>
      </right>
      <top style="medium">
        <color theme="0" tint="-0.499984740745262"/>
      </top>
      <bottom/>
      <diagonal/>
    </border>
    <border>
      <left/>
      <right style="medium">
        <color theme="0" tint="-0.499984740745262"/>
      </right>
      <top style="medium">
        <color theme="0" tint="-0.499984740745262"/>
      </top>
      <bottom style="medium">
        <color theme="0" tint="-0.499984740745262"/>
      </bottom>
      <diagonal/>
    </border>
    <border>
      <left/>
      <right style="medium">
        <color theme="0" tint="-0.499984740745262"/>
      </right>
      <top/>
      <bottom/>
      <diagonal/>
    </border>
    <border>
      <left/>
      <right/>
      <top/>
      <bottom style="medium">
        <color theme="0" tint="-0.499984740745262"/>
      </bottom>
      <diagonal/>
    </border>
    <border>
      <left/>
      <right style="medium">
        <color theme="0" tint="-0.499984740745262"/>
      </right>
      <top/>
      <bottom style="medium">
        <color theme="0" tint="-0.499984740745262"/>
      </bottom>
      <diagonal/>
    </border>
    <border>
      <left style="medium">
        <color theme="0" tint="-0.499984740745262"/>
      </left>
      <right style="medium">
        <color theme="0" tint="-0.499984740745262"/>
      </right>
      <top/>
      <bottom/>
      <diagonal/>
    </border>
    <border>
      <left/>
      <right style="medium">
        <color theme="0" tint="-0.499984740745262"/>
      </right>
      <top style="medium">
        <color theme="0" tint="-0.499984740745262"/>
      </top>
      <bottom/>
      <diagonal/>
    </border>
    <border>
      <left/>
      <right/>
      <top style="medium">
        <color theme="0" tint="-0.499984740745262"/>
      </top>
      <bottom/>
      <diagonal/>
    </border>
    <border>
      <left style="medium">
        <color theme="0" tint="-0.499984740745262"/>
      </left>
      <right style="medium">
        <color theme="0" tint="-0.499984740745262"/>
      </right>
      <top/>
      <bottom style="medium">
        <color theme="0" tint="-0.499984740745262"/>
      </bottom>
      <diagonal/>
    </border>
    <border>
      <left style="medium">
        <color theme="0" tint="-0.499984740745262"/>
      </left>
      <right style="medium">
        <color theme="0" tint="-0.499984740745262"/>
      </right>
      <top/>
      <bottom style="medium">
        <color auto="1"/>
      </bottom>
      <diagonal/>
    </border>
    <border>
      <left/>
      <right style="medium">
        <color theme="0" tint="-0.499984740745262"/>
      </right>
      <top/>
      <bottom style="medium">
        <color auto="1"/>
      </bottom>
      <diagonal/>
    </border>
    <border>
      <left/>
      <right/>
      <top/>
      <bottom style="medium">
        <color auto="1"/>
      </bottom>
      <diagonal/>
    </border>
    <border>
      <left style="medium">
        <color theme="0" tint="-0.499984740745262"/>
      </left>
      <right/>
      <top style="medium">
        <color theme="0" tint="-0.499984740745262"/>
      </top>
      <bottom/>
      <diagonal/>
    </border>
    <border>
      <left style="medium">
        <color theme="0" tint="-0.499984740745262"/>
      </left>
      <right/>
      <top/>
      <bottom style="medium">
        <color theme="0" tint="-0.499984740745262"/>
      </bottom>
      <diagonal/>
    </border>
    <border>
      <left/>
      <right style="medium">
        <color theme="0" tint="-0.499984740745262"/>
      </right>
      <top/>
      <bottom style="thin">
        <color auto="1"/>
      </bottom>
      <diagonal/>
    </border>
    <border>
      <left/>
      <right style="thin">
        <color auto="1"/>
      </right>
      <top/>
      <bottom/>
      <diagonal/>
    </border>
    <border>
      <left/>
      <right style="hair">
        <color rgb="FF999999"/>
      </right>
      <top/>
      <bottom style="hair">
        <color rgb="FF999999"/>
      </bottom>
      <diagonal/>
    </border>
    <border>
      <left/>
      <right/>
      <top/>
      <bottom style="thin">
        <color auto="1"/>
      </bottom>
      <diagonal/>
    </border>
    <border>
      <left style="medium">
        <color theme="0" tint="-0.499984740745262"/>
      </left>
      <right/>
      <top style="medium">
        <color theme="0" tint="-0.499984740745262"/>
      </top>
      <bottom style="medium">
        <color theme="0" tint="-0.499984740745262"/>
      </bottom>
      <diagonal/>
    </border>
    <border>
      <left style="medium">
        <color theme="0" tint="-0.499984740745262"/>
      </left>
      <right/>
      <top/>
      <bottom/>
      <diagonal/>
    </border>
    <border>
      <left style="medium">
        <color theme="0" tint="-0.499984740745262"/>
      </left>
      <right/>
      <top style="medium">
        <color theme="0" tint="-0.499984740745262"/>
      </top>
      <bottom style="thin">
        <color rgb="FFA6A6A6"/>
      </bottom>
      <diagonal/>
    </border>
    <border>
      <left style="medium">
        <color theme="0" tint="-0.499984740745262"/>
      </left>
      <right style="medium">
        <color theme="0" tint="-0.499984740745262"/>
      </right>
      <top style="medium">
        <color theme="0" tint="-0.499984740745262"/>
      </top>
      <bottom style="thin">
        <color rgb="FFA6A6A6"/>
      </bottom>
      <diagonal/>
    </border>
    <border>
      <left/>
      <right/>
      <top style="medium">
        <color theme="0" tint="-0.499984740745262"/>
      </top>
      <bottom style="thin">
        <color rgb="FFA6A6A6"/>
      </bottom>
      <diagonal/>
    </border>
    <border>
      <left style="medium">
        <color theme="0" tint="-0.499984740745262"/>
      </left>
      <right/>
      <top style="thin">
        <color rgb="FFA6A6A6"/>
      </top>
      <bottom style="medium">
        <color theme="0" tint="-0.499984740745262"/>
      </bottom>
      <diagonal/>
    </border>
    <border>
      <left style="medium">
        <color theme="0" tint="-0.499984740745262"/>
      </left>
      <right style="medium">
        <color theme="0" tint="-0.499984740745262"/>
      </right>
      <top style="thin">
        <color rgb="FFA6A6A6"/>
      </top>
      <bottom style="medium">
        <color rgb="FF808080"/>
      </bottom>
      <diagonal/>
    </border>
    <border>
      <left/>
      <right style="thin">
        <color rgb="FFA6A6A6"/>
      </right>
      <top/>
      <bottom/>
      <diagonal/>
    </border>
    <border>
      <left style="thin">
        <color rgb="FFA6A6A6"/>
      </left>
      <right/>
      <top/>
      <bottom/>
      <diagonal/>
    </border>
    <border>
      <left style="thin">
        <color rgb="FFA6A6A6"/>
      </left>
      <right style="thin">
        <color rgb="FFA6A6A6"/>
      </right>
      <top/>
      <bottom/>
      <diagonal/>
    </border>
    <border>
      <left style="medium">
        <color theme="0" tint="-0.499984740745262"/>
      </left>
      <right style="thin">
        <color rgb="FFA6A6A6"/>
      </right>
      <top/>
      <bottom/>
      <diagonal/>
    </border>
    <border>
      <left style="medium">
        <color theme="0" tint="-0.499984740745262"/>
      </left>
      <right style="thin">
        <color rgb="FFA6A6A6"/>
      </right>
      <top style="medium">
        <color theme="0" tint="-0.499984740745262"/>
      </top>
      <bottom/>
      <diagonal/>
    </border>
    <border>
      <left style="thin">
        <color rgb="FFA6A6A6"/>
      </left>
      <right/>
      <top style="medium">
        <color theme="0" tint="-0.499984740745262"/>
      </top>
      <bottom/>
      <diagonal/>
    </border>
    <border>
      <left style="thin">
        <color rgb="FFA6A6A6"/>
      </left>
      <right style="thin">
        <color rgb="FFA6A6A6"/>
      </right>
      <top style="medium">
        <color theme="0" tint="-0.499984740745262"/>
      </top>
      <bottom/>
      <diagonal/>
    </border>
    <border>
      <left style="medium">
        <color theme="0" tint="-0.499984740745262"/>
      </left>
      <right/>
      <top/>
      <bottom style="medium">
        <color rgb="FF808080"/>
      </bottom>
      <diagonal/>
    </border>
    <border>
      <left style="thin">
        <color rgb="FFA6A6A6"/>
      </left>
      <right/>
      <top/>
      <bottom style="medium">
        <color rgb="FF808080"/>
      </bottom>
      <diagonal/>
    </border>
    <border>
      <left style="medium">
        <color theme="0" tint="-0.499984740745262"/>
      </left>
      <right style="thin">
        <color rgb="FFA6A6A6"/>
      </right>
      <top style="medium">
        <color rgb="FF808080"/>
      </top>
      <bottom/>
      <diagonal/>
    </border>
    <border>
      <left style="medium">
        <color theme="0" tint="-0.499984740745262"/>
      </left>
      <right/>
      <top style="medium">
        <color rgb="FF808080"/>
      </top>
      <bottom/>
      <diagonal/>
    </border>
    <border>
      <left style="thin">
        <color rgb="FFA6A6A6"/>
      </left>
      <right/>
      <top style="medium">
        <color rgb="FF808080"/>
      </top>
      <bottom/>
      <diagonal/>
    </border>
    <border>
      <left style="thin">
        <color rgb="FFA6A6A6"/>
      </left>
      <right style="thin">
        <color rgb="FFA6A6A6"/>
      </right>
      <top style="medium">
        <color rgb="FF808080"/>
      </top>
      <bottom/>
      <diagonal/>
    </border>
    <border>
      <left style="medium">
        <color theme="0" tint="-0.499984740745262"/>
      </left>
      <right/>
      <top/>
      <bottom style="thin">
        <color rgb="FFA6A6A6"/>
      </bottom>
      <diagonal/>
    </border>
    <border>
      <left style="thin">
        <color rgb="FFA6A6A6"/>
      </left>
      <right/>
      <top/>
      <bottom style="thin">
        <color rgb="FFA6A6A6"/>
      </bottom>
      <diagonal/>
    </border>
    <border>
      <left/>
      <right style="medium">
        <color theme="0" tint="-0.499984740745262"/>
      </right>
      <top style="medium">
        <color theme="0" tint="-0.499984740745262"/>
      </top>
      <bottom style="thin">
        <color rgb="FFA6A6A6"/>
      </bottom>
      <diagonal/>
    </border>
    <border>
      <left style="medium">
        <color theme="0" tint="-0.499984740745262"/>
      </left>
      <right style="medium">
        <color theme="0" tint="-0.499984740745262"/>
      </right>
      <top/>
      <bottom style="thin">
        <color auto="1"/>
      </bottom>
      <diagonal/>
    </border>
    <border>
      <left style="medium">
        <color theme="0" tint="-0.499984740745262"/>
      </left>
      <right/>
      <top/>
      <bottom style="thin">
        <color auto="1"/>
      </bottom>
      <diagonal/>
    </border>
    <border>
      <left/>
      <right/>
      <top/>
      <bottom style="thin">
        <color rgb="FFA6A6A6"/>
      </bottom>
      <diagonal/>
    </border>
    <border>
      <left style="medium">
        <color theme="0" tint="-0.499984740745262"/>
      </left>
      <right style="medium">
        <color rgb="FF808080"/>
      </right>
      <top style="thin">
        <color rgb="FFA6A6A6"/>
      </top>
      <bottom/>
      <diagonal/>
    </border>
    <border>
      <left style="medium">
        <color theme="0" tint="-0.499984740745262"/>
      </left>
      <right style="medium">
        <color rgb="FF808080"/>
      </right>
      <top/>
      <bottom style="medium">
        <color rgb="FF808080"/>
      </bottom>
      <diagonal/>
    </border>
    <border>
      <left style="thin">
        <color rgb="FFA6A6A6"/>
      </left>
      <right style="medium">
        <color rgb="FF808080"/>
      </right>
      <top style="thin">
        <color rgb="FFA6A6A6"/>
      </top>
      <bottom/>
      <diagonal/>
    </border>
    <border>
      <left style="thin">
        <color rgb="FFA6A6A6"/>
      </left>
      <right style="medium">
        <color rgb="FF808080"/>
      </right>
      <top style="medium">
        <color theme="0" tint="-0.499984740745262"/>
      </top>
      <bottom/>
      <diagonal/>
    </border>
    <border>
      <left style="thin">
        <color rgb="FFA6A6A6"/>
      </left>
      <right style="medium">
        <color rgb="FF808080"/>
      </right>
      <top/>
      <bottom style="medium">
        <color rgb="FF808080"/>
      </bottom>
      <diagonal/>
    </border>
    <border>
      <left style="thin">
        <color rgb="FFA6A6A6"/>
      </left>
      <right style="medium">
        <color rgb="FF808080"/>
      </right>
      <top/>
      <bottom/>
      <diagonal/>
    </border>
    <border>
      <left style="thin">
        <color rgb="FFA6A6A6"/>
      </left>
      <right style="medium">
        <color rgb="FF808080"/>
      </right>
      <top style="medium">
        <color rgb="FF808080"/>
      </top>
      <bottom/>
      <diagonal/>
    </border>
    <border>
      <left style="medium">
        <color theme="0" tint="-0.499984740745262"/>
      </left>
      <right style="medium">
        <color theme="0" tint="-0.499984740745262"/>
      </right>
      <top/>
      <bottom style="thin">
        <color rgb="FFA6A6A6"/>
      </bottom>
      <diagonal/>
    </border>
    <border>
      <left/>
      <right style="medium">
        <color rgb="FF808080"/>
      </right>
      <top style="medium">
        <color theme="0" tint="-0.499984740745262"/>
      </top>
      <bottom/>
      <diagonal/>
    </border>
    <border>
      <left/>
      <right style="medium">
        <color theme="0" tint="-0.499984740745262"/>
      </right>
      <top/>
      <bottom style="thin">
        <color rgb="FFA6A6A6"/>
      </bottom>
      <diagonal/>
    </border>
    <border>
      <left/>
      <right style="medium">
        <color rgb="FF808080"/>
      </right>
      <top/>
      <bottom style="medium">
        <color theme="0" tint="-0.499984740745262"/>
      </bottom>
      <diagonal/>
    </border>
    <border>
      <left/>
      <right/>
      <top style="medium">
        <color theme="0" tint="-0.499984740745262"/>
      </top>
      <bottom style="medium">
        <color theme="0" tint="-0.499984740745262"/>
      </bottom>
      <diagonal/>
    </border>
    <border>
      <left/>
      <right style="medium">
        <color rgb="FF808080"/>
      </right>
      <top style="medium">
        <color theme="0" tint="-0.499984740745262"/>
      </top>
      <bottom style="medium">
        <color theme="0" tint="-0.499984740745262"/>
      </bottom>
      <diagonal/>
    </border>
    <border>
      <left style="medium">
        <color theme="0" tint="-0.499984740745262"/>
      </left>
      <right style="medium">
        <color rgb="FF808080"/>
      </right>
      <top style="medium">
        <color theme="0" tint="-0.499984740745262"/>
      </top>
      <bottom/>
      <diagonal/>
    </border>
    <border>
      <left/>
      <right style="medium">
        <color rgb="FF808080"/>
      </right>
      <top/>
      <bottom/>
      <diagonal/>
    </border>
    <border>
      <left style="medium">
        <color theme="0" tint="-0.499984740745262"/>
      </left>
      <right style="medium">
        <color rgb="FF808080"/>
      </right>
      <top/>
      <bottom style="medium">
        <color theme="0" tint="-0.499984740745262"/>
      </bottom>
      <diagonal/>
    </border>
    <border>
      <left/>
      <right style="medium">
        <color rgb="FF808080"/>
      </right>
      <top style="medium">
        <color auto="1"/>
      </top>
      <bottom/>
      <diagonal/>
    </border>
    <border>
      <left style="medium">
        <color theme="0" tint="-0.499984740745262"/>
      </left>
      <right style="medium">
        <color rgb="FF808080"/>
      </right>
      <top/>
      <bottom/>
      <diagonal/>
    </border>
    <border>
      <left style="medium">
        <color theme="0" tint="-0.499984740745262"/>
      </left>
      <right style="medium">
        <color theme="0" tint="-0.499984740745262"/>
      </right>
      <top style="thin">
        <color rgb="FFA6A6A6"/>
      </top>
      <bottom/>
      <diagonal/>
    </border>
  </borders>
  <cellStyleXfs count="2">
    <xf numFmtId="0" fontId="0" fillId="0" borderId="0"/>
    <xf numFmtId="0" fontId="1" fillId="0" borderId="0" applyNumberFormat="0" applyFill="0" applyBorder="0" applyAlignment="0" applyProtection="0"/>
  </cellStyleXfs>
  <cellXfs count="261">
    <xf numFmtId="0" fontId="0" fillId="0" borderId="0" xfId="0"/>
    <xf numFmtId="0" fontId="2" fillId="0" borderId="0" xfId="0" applyFont="1" applyAlignment="1">
      <alignment horizontal="center" vertical="center"/>
    </xf>
    <xf numFmtId="0" fontId="3" fillId="0" borderId="0" xfId="0" applyFont="1" applyAlignment="1">
      <alignment horizontal="center" vertical="center"/>
    </xf>
    <xf numFmtId="0" fontId="2" fillId="0" borderId="0" xfId="0" applyFont="1" applyAlignment="1">
      <alignment horizontal="left" vertical="center"/>
    </xf>
    <xf numFmtId="0" fontId="3" fillId="0" borderId="0" xfId="0" applyFont="1" applyAlignment="1">
      <alignment horizontal="left" vertical="center" wrapText="1"/>
    </xf>
    <xf numFmtId="0" fontId="3" fillId="0" borderId="22" xfId="0" applyFont="1" applyBorder="1" applyAlignment="1">
      <alignment horizontal="left" vertical="center" wrapText="1"/>
    </xf>
    <xf numFmtId="0" fontId="3" fillId="0" borderId="14" xfId="0" applyFont="1" applyBorder="1" applyAlignment="1">
      <alignment horizontal="center" vertical="center" wrapText="1"/>
    </xf>
    <xf numFmtId="0" fontId="2" fillId="0" borderId="26" xfId="0" applyFont="1" applyBorder="1" applyAlignment="1">
      <alignment horizontal="center" vertical="center" wrapText="1"/>
    </xf>
    <xf numFmtId="0" fontId="3" fillId="0" borderId="27" xfId="0" applyFont="1" applyBorder="1" applyAlignment="1">
      <alignment horizontal="center" vertical="center" wrapText="1"/>
    </xf>
    <xf numFmtId="0" fontId="3" fillId="0" borderId="5"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28" xfId="0" applyFont="1" applyBorder="1" applyAlignment="1">
      <alignment horizontal="center" vertical="center" wrapText="1"/>
    </xf>
    <xf numFmtId="0" fontId="3" fillId="0" borderId="29" xfId="0" applyFont="1" applyBorder="1" applyAlignment="1">
      <alignment horizontal="center" vertical="center" wrapText="1"/>
    </xf>
    <xf numFmtId="0" fontId="3" fillId="0" borderId="30" xfId="0" applyFont="1" applyBorder="1" applyAlignment="1">
      <alignment horizontal="center" vertical="center" wrapText="1"/>
    </xf>
    <xf numFmtId="0" fontId="3" fillId="0" borderId="7" xfId="0" applyFont="1" applyBorder="1" applyAlignment="1">
      <alignment horizontal="left" vertical="center" wrapText="1"/>
    </xf>
    <xf numFmtId="0" fontId="3" fillId="0" borderId="21" xfId="0" applyFont="1" applyBorder="1" applyAlignment="1">
      <alignment horizontal="left" vertical="center" wrapText="1"/>
    </xf>
    <xf numFmtId="0" fontId="5" fillId="0" borderId="0" xfId="0" applyFont="1" applyAlignment="1">
      <alignment horizontal="right" vertical="center" wrapText="1"/>
    </xf>
    <xf numFmtId="0" fontId="4" fillId="0" borderId="0" xfId="0" applyFont="1" applyAlignment="1">
      <alignment horizontal="right" vertical="center" wrapText="1"/>
    </xf>
    <xf numFmtId="0" fontId="4" fillId="0" borderId="30" xfId="0" applyFont="1" applyBorder="1" applyAlignment="1">
      <alignment horizontal="right" vertical="center" wrapText="1"/>
    </xf>
    <xf numFmtId="0" fontId="4" fillId="0" borderId="21" xfId="0" applyFont="1" applyBorder="1" applyAlignment="1">
      <alignment horizontal="right" vertical="center" wrapText="1"/>
    </xf>
    <xf numFmtId="0" fontId="4" fillId="0" borderId="28" xfId="0" applyFont="1" applyBorder="1" applyAlignment="1">
      <alignment horizontal="right" vertical="center" wrapText="1"/>
    </xf>
    <xf numFmtId="0" fontId="4" fillId="0" borderId="29" xfId="0" applyFont="1" applyBorder="1" applyAlignment="1">
      <alignment horizontal="right" vertical="center" wrapText="1"/>
    </xf>
    <xf numFmtId="9" fontId="3" fillId="0" borderId="34" xfId="0" applyNumberFormat="1" applyFont="1" applyBorder="1" applyAlignment="1">
      <alignment horizontal="center" vertical="center" wrapText="1"/>
    </xf>
    <xf numFmtId="9" fontId="2" fillId="0" borderId="34" xfId="0" applyNumberFormat="1" applyFont="1" applyBorder="1" applyAlignment="1">
      <alignment horizontal="center" vertical="center" wrapText="1"/>
    </xf>
    <xf numFmtId="9" fontId="2" fillId="0" borderId="35" xfId="0" applyNumberFormat="1" applyFont="1" applyBorder="1" applyAlignment="1">
      <alignment horizontal="center" vertical="center" wrapText="1"/>
    </xf>
    <xf numFmtId="0" fontId="5" fillId="0" borderId="0" xfId="0" applyFont="1" applyAlignment="1">
      <alignment horizontal="center" vertical="center"/>
    </xf>
    <xf numFmtId="0" fontId="4" fillId="0" borderId="0" xfId="0" applyFont="1" applyAlignment="1">
      <alignment horizontal="center" vertical="center"/>
    </xf>
    <xf numFmtId="0" fontId="4" fillId="0" borderId="0" xfId="0" applyFont="1"/>
    <xf numFmtId="0" fontId="3" fillId="0" borderId="0" xfId="0" applyFont="1" applyAlignment="1">
      <alignment horizontal="left" vertical="center"/>
    </xf>
    <xf numFmtId="1" fontId="3" fillId="0" borderId="7" xfId="0" applyNumberFormat="1" applyFont="1" applyBorder="1" applyAlignment="1">
      <alignment horizontal="left" vertical="center" wrapText="1"/>
    </xf>
    <xf numFmtId="1" fontId="3" fillId="0" borderId="21" xfId="0" applyNumberFormat="1" applyFont="1" applyBorder="1" applyAlignment="1">
      <alignment horizontal="left" vertical="center" wrapText="1"/>
    </xf>
    <xf numFmtId="0" fontId="3" fillId="0" borderId="48" xfId="0" applyFont="1" applyBorder="1" applyAlignment="1">
      <alignment horizontal="center" vertical="center" wrapText="1"/>
    </xf>
    <xf numFmtId="0" fontId="4" fillId="0" borderId="48" xfId="0" applyFont="1" applyBorder="1" applyAlignment="1">
      <alignment horizontal="right" vertical="center" wrapText="1"/>
    </xf>
    <xf numFmtId="9" fontId="2" fillId="0" borderId="50" xfId="0" applyNumberFormat="1" applyFont="1" applyBorder="1" applyAlignment="1">
      <alignment horizontal="center" vertical="center" wrapText="1"/>
    </xf>
    <xf numFmtId="1" fontId="3" fillId="0" borderId="21" xfId="0" applyNumberFormat="1" applyFont="1" applyBorder="1" applyAlignment="1">
      <alignment horizontal="center" vertical="center" wrapText="1"/>
    </xf>
    <xf numFmtId="1" fontId="3" fillId="0" borderId="28" xfId="0" applyNumberFormat="1" applyFont="1" applyBorder="1" applyAlignment="1">
      <alignment horizontal="center" vertical="center" wrapText="1"/>
    </xf>
    <xf numFmtId="1" fontId="3" fillId="0" borderId="29" xfId="0" applyNumberFormat="1" applyFont="1" applyBorder="1" applyAlignment="1">
      <alignment horizontal="center" vertical="center" wrapText="1"/>
    </xf>
    <xf numFmtId="0" fontId="6" fillId="0" borderId="0" xfId="1" applyFont="1" applyAlignment="1">
      <alignment horizontal="left" vertical="center"/>
    </xf>
    <xf numFmtId="0" fontId="3" fillId="0" borderId="22" xfId="0" applyFont="1" applyBorder="1" applyAlignment="1">
      <alignment horizontal="center" vertical="center" wrapText="1"/>
    </xf>
    <xf numFmtId="0" fontId="4" fillId="0" borderId="31" xfId="0" applyFont="1" applyBorder="1" applyAlignment="1">
      <alignment horizontal="center" vertical="center"/>
    </xf>
    <xf numFmtId="0" fontId="4" fillId="0" borderId="14" xfId="0" applyFont="1" applyBorder="1" applyAlignment="1">
      <alignment horizontal="center" vertical="center"/>
    </xf>
    <xf numFmtId="0" fontId="4" fillId="0" borderId="32" xfId="0" applyFont="1" applyBorder="1" applyAlignment="1">
      <alignment horizontal="center" vertical="center"/>
    </xf>
    <xf numFmtId="0" fontId="4" fillId="0" borderId="33" xfId="0" applyFont="1" applyBorder="1" applyAlignment="1">
      <alignment horizontal="center" vertical="center"/>
    </xf>
    <xf numFmtId="0" fontId="4" fillId="0" borderId="49" xfId="0" applyFont="1" applyBorder="1" applyAlignment="1">
      <alignment horizontal="center" vertical="center"/>
    </xf>
    <xf numFmtId="0" fontId="4" fillId="0" borderId="34" xfId="0" applyFont="1" applyBorder="1" applyAlignment="1">
      <alignment horizontal="center" vertical="center"/>
    </xf>
    <xf numFmtId="0" fontId="4" fillId="0" borderId="21" xfId="0" applyFont="1" applyBorder="1" applyAlignment="1">
      <alignment horizontal="center" vertical="center"/>
    </xf>
    <xf numFmtId="0" fontId="4" fillId="0" borderId="35" xfId="0" applyFont="1" applyBorder="1" applyAlignment="1">
      <alignment horizontal="center" vertical="center"/>
    </xf>
    <xf numFmtId="0" fontId="4" fillId="0" borderId="28" xfId="0" applyFont="1" applyBorder="1" applyAlignment="1">
      <alignment horizontal="center" vertical="center"/>
    </xf>
    <xf numFmtId="0" fontId="4" fillId="0" borderId="51" xfId="0" applyFont="1" applyBorder="1" applyAlignment="1">
      <alignment horizontal="center" vertical="center"/>
    </xf>
    <xf numFmtId="9" fontId="3" fillId="0" borderId="40" xfId="0" applyNumberFormat="1" applyFont="1" applyBorder="1" applyAlignment="1">
      <alignment horizontal="center" vertical="center"/>
    </xf>
    <xf numFmtId="9" fontId="2" fillId="0" borderId="40" xfId="0" applyNumberFormat="1" applyFont="1" applyBorder="1" applyAlignment="1">
      <alignment horizontal="center" vertical="center"/>
    </xf>
    <xf numFmtId="9" fontId="2" fillId="0" borderId="41" xfId="0" applyNumberFormat="1" applyFont="1" applyBorder="1" applyAlignment="1">
      <alignment horizontal="center" vertical="center"/>
    </xf>
    <xf numFmtId="9" fontId="2" fillId="0" borderId="51" xfId="0" applyNumberFormat="1" applyFont="1" applyBorder="1" applyAlignment="1">
      <alignment horizontal="center" vertical="center"/>
    </xf>
    <xf numFmtId="9" fontId="3" fillId="0" borderId="0" xfId="0" applyNumberFormat="1" applyFont="1" applyAlignment="1">
      <alignment horizontal="center" vertical="center"/>
    </xf>
    <xf numFmtId="9" fontId="2" fillId="0" borderId="30" xfId="0" applyNumberFormat="1" applyFont="1" applyBorder="1" applyAlignment="1">
      <alignment horizontal="center" vertical="center"/>
    </xf>
    <xf numFmtId="9" fontId="2" fillId="0" borderId="0" xfId="0" applyNumberFormat="1" applyFont="1" applyAlignment="1">
      <alignment horizontal="center" vertical="center"/>
    </xf>
    <xf numFmtId="9" fontId="2" fillId="0" borderId="21" xfId="0" applyNumberFormat="1" applyFont="1" applyBorder="1" applyAlignment="1">
      <alignment horizontal="center" vertical="center"/>
    </xf>
    <xf numFmtId="9" fontId="2" fillId="0" borderId="28" xfId="0" applyNumberFormat="1" applyFont="1" applyBorder="1" applyAlignment="1">
      <alignment horizontal="center" vertical="center"/>
    </xf>
    <xf numFmtId="9" fontId="2" fillId="0" borderId="29" xfId="0" applyNumberFormat="1" applyFont="1" applyBorder="1" applyAlignment="1">
      <alignment horizontal="center" vertical="center"/>
    </xf>
    <xf numFmtId="9" fontId="3" fillId="0" borderId="34" xfId="0" applyNumberFormat="1" applyFont="1" applyBorder="1" applyAlignment="1">
      <alignment horizontal="center" vertical="center"/>
    </xf>
    <xf numFmtId="9" fontId="2" fillId="0" borderId="34" xfId="0" applyNumberFormat="1" applyFont="1" applyBorder="1" applyAlignment="1">
      <alignment horizontal="center" vertical="center"/>
    </xf>
    <xf numFmtId="9" fontId="2" fillId="0" borderId="35" xfId="0" applyNumberFormat="1" applyFont="1" applyBorder="1" applyAlignment="1">
      <alignment horizontal="center" vertical="center"/>
    </xf>
    <xf numFmtId="9" fontId="2" fillId="0" borderId="50" xfId="0" applyNumberFormat="1" applyFont="1" applyBorder="1" applyAlignment="1">
      <alignment horizontal="center" vertical="center"/>
    </xf>
    <xf numFmtId="0" fontId="5" fillId="0" borderId="0" xfId="0" applyFont="1" applyAlignment="1">
      <alignment horizontal="right" vertical="center"/>
    </xf>
    <xf numFmtId="0" fontId="4" fillId="0" borderId="36" xfId="0" applyFont="1" applyBorder="1" applyAlignment="1">
      <alignment horizontal="right" vertical="center"/>
    </xf>
    <xf numFmtId="0" fontId="4" fillId="0" borderId="0" xfId="0" applyFont="1" applyAlignment="1">
      <alignment horizontal="right" vertical="center"/>
    </xf>
    <xf numFmtId="0" fontId="4" fillId="0" borderId="37" xfId="0" applyFont="1" applyBorder="1" applyAlignment="1">
      <alignment horizontal="right" vertical="center"/>
    </xf>
    <xf numFmtId="0" fontId="4" fillId="0" borderId="38" xfId="0" applyFont="1" applyBorder="1" applyAlignment="1">
      <alignment horizontal="right" vertical="center"/>
    </xf>
    <xf numFmtId="0" fontId="4" fillId="0" borderId="39" xfId="0" applyFont="1" applyBorder="1" applyAlignment="1">
      <alignment horizontal="right" vertical="center"/>
    </xf>
    <xf numFmtId="0" fontId="4" fillId="0" borderId="52" xfId="0" applyFont="1" applyBorder="1" applyAlignment="1">
      <alignment horizontal="right" vertical="center"/>
    </xf>
    <xf numFmtId="0" fontId="4" fillId="0" borderId="30" xfId="0" applyFont="1" applyBorder="1" applyAlignment="1">
      <alignment horizontal="right" vertical="center"/>
    </xf>
    <xf numFmtId="0" fontId="4" fillId="0" borderId="21" xfId="0" applyFont="1" applyBorder="1" applyAlignment="1">
      <alignment horizontal="right" vertical="center"/>
    </xf>
    <xf numFmtId="0" fontId="4" fillId="0" borderId="28" xfId="0" applyFont="1" applyBorder="1" applyAlignment="1">
      <alignment horizontal="right" vertical="center"/>
    </xf>
    <xf numFmtId="0" fontId="4" fillId="0" borderId="29" xfId="0" applyFont="1" applyBorder="1" applyAlignment="1">
      <alignment horizontal="right" vertical="center"/>
    </xf>
    <xf numFmtId="0" fontId="4" fillId="0" borderId="48" xfId="0" applyFont="1" applyBorder="1" applyAlignment="1">
      <alignment horizontal="right" vertical="center"/>
    </xf>
    <xf numFmtId="0" fontId="5" fillId="0" borderId="9" xfId="0" applyFont="1" applyBorder="1" applyAlignment="1">
      <alignment horizontal="right" vertical="center"/>
    </xf>
    <xf numFmtId="0" fontId="4" fillId="0" borderId="31" xfId="0" applyFont="1" applyBorder="1" applyAlignment="1">
      <alignment horizontal="right" vertical="center"/>
    </xf>
    <xf numFmtId="0" fontId="4" fillId="0" borderId="9" xfId="0" applyFont="1" applyBorder="1" applyAlignment="1">
      <alignment horizontal="right" vertical="center"/>
    </xf>
    <xf numFmtId="0" fontId="4" fillId="0" borderId="14" xfId="0" applyFont="1" applyBorder="1" applyAlignment="1">
      <alignment horizontal="right" vertical="center"/>
    </xf>
    <xf numFmtId="0" fontId="4" fillId="0" borderId="32" xfId="0" applyFont="1" applyBorder="1" applyAlignment="1">
      <alignment horizontal="right" vertical="center"/>
    </xf>
    <xf numFmtId="0" fontId="4" fillId="0" borderId="33" xfId="0" applyFont="1" applyBorder="1" applyAlignment="1">
      <alignment horizontal="right" vertical="center"/>
    </xf>
    <xf numFmtId="0" fontId="4" fillId="0" borderId="49" xfId="0" applyFont="1" applyBorder="1" applyAlignment="1">
      <alignment horizontal="right" vertical="center"/>
    </xf>
    <xf numFmtId="9" fontId="2" fillId="0" borderId="47" xfId="0" applyNumberFormat="1" applyFont="1" applyBorder="1" applyAlignment="1">
      <alignment horizontal="center" vertical="center"/>
    </xf>
    <xf numFmtId="9" fontId="2" fillId="0" borderId="19" xfId="0" applyNumberFormat="1" applyFont="1" applyBorder="1" applyAlignment="1">
      <alignment horizontal="center" vertical="center"/>
    </xf>
    <xf numFmtId="9" fontId="2" fillId="0" borderId="16" xfId="0" applyNumberFormat="1" applyFont="1" applyBorder="1" applyAlignment="1">
      <alignment horizontal="center" vertical="center"/>
    </xf>
    <xf numFmtId="0" fontId="4" fillId="0" borderId="46" xfId="0" applyFont="1" applyBorder="1" applyAlignment="1">
      <alignment horizontal="right" vertical="center"/>
    </xf>
    <xf numFmtId="0" fontId="4" fillId="0" borderId="4" xfId="0" applyFont="1" applyBorder="1" applyAlignment="1">
      <alignment horizontal="right" vertical="center"/>
    </xf>
    <xf numFmtId="0" fontId="7" fillId="0" borderId="0" xfId="0" applyFont="1" applyAlignment="1">
      <alignment horizontal="center" vertical="center"/>
    </xf>
    <xf numFmtId="0" fontId="8" fillId="0" borderId="0" xfId="0" applyFont="1" applyAlignment="1">
      <alignment horizontal="center" vertical="center"/>
    </xf>
    <xf numFmtId="0" fontId="9" fillId="0" borderId="0" xfId="0" applyFont="1" applyAlignment="1">
      <alignment horizontal="center" vertical="center"/>
    </xf>
    <xf numFmtId="0" fontId="7" fillId="0" borderId="0" xfId="0" applyFont="1" applyAlignment="1">
      <alignment horizontal="right" vertical="center"/>
    </xf>
    <xf numFmtId="0" fontId="2" fillId="0" borderId="25" xfId="0" applyFont="1" applyBorder="1"/>
    <xf numFmtId="0" fontId="10"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center" vertical="center"/>
    </xf>
    <xf numFmtId="0" fontId="2" fillId="0" borderId="30" xfId="0" applyFont="1" applyBorder="1" applyAlignment="1">
      <alignment horizontal="right" vertical="center" wrapText="1"/>
    </xf>
    <xf numFmtId="0" fontId="2" fillId="0" borderId="0" xfId="0" applyFont="1" applyAlignment="1">
      <alignment horizontal="right" vertical="center" wrapText="1"/>
    </xf>
    <xf numFmtId="0" fontId="2" fillId="0" borderId="21" xfId="0" applyFont="1" applyBorder="1" applyAlignment="1">
      <alignment horizontal="right" vertical="center" wrapText="1"/>
    </xf>
    <xf numFmtId="0" fontId="2" fillId="0" borderId="28" xfId="0" applyFont="1" applyBorder="1" applyAlignment="1">
      <alignment horizontal="right" vertical="center" wrapText="1"/>
    </xf>
    <xf numFmtId="0" fontId="2" fillId="0" borderId="29" xfId="0" applyFont="1" applyBorder="1" applyAlignment="1">
      <alignment horizontal="right" vertical="center" wrapText="1"/>
    </xf>
    <xf numFmtId="0" fontId="2" fillId="0" borderId="48" xfId="0" applyFont="1" applyBorder="1" applyAlignment="1">
      <alignment horizontal="right" vertical="center" wrapText="1"/>
    </xf>
    <xf numFmtId="0" fontId="2" fillId="0" borderId="0" xfId="0" applyFont="1"/>
    <xf numFmtId="0" fontId="7" fillId="0" borderId="0" xfId="0" applyFont="1"/>
    <xf numFmtId="0" fontId="12" fillId="0" borderId="0" xfId="0" applyFont="1" applyAlignment="1">
      <alignment horizontal="left" vertical="center"/>
    </xf>
    <xf numFmtId="0" fontId="7" fillId="0" borderId="0" xfId="0" applyFont="1" applyAlignment="1">
      <alignment horizontal="left" vertical="center"/>
    </xf>
    <xf numFmtId="0" fontId="13" fillId="0" borderId="0" xfId="0" applyFont="1" applyAlignment="1">
      <alignment horizontal="left" vertical="center"/>
    </xf>
    <xf numFmtId="0" fontId="14" fillId="0" borderId="0" xfId="0" applyFont="1" applyAlignment="1">
      <alignment horizontal="left" vertical="center" wrapText="1"/>
    </xf>
    <xf numFmtId="0" fontId="7" fillId="0" borderId="56" xfId="0" applyFont="1" applyBorder="1" applyAlignment="1">
      <alignment horizontal="center" vertical="center"/>
    </xf>
    <xf numFmtId="0" fontId="9" fillId="0" borderId="2" xfId="0" applyFont="1" applyBorder="1" applyAlignment="1">
      <alignment horizontal="center" vertical="center" wrapText="1"/>
    </xf>
    <xf numFmtId="0" fontId="8" fillId="0" borderId="16" xfId="0" applyFont="1" applyBorder="1" applyAlignment="1">
      <alignment horizontal="left" vertical="center" wrapText="1"/>
    </xf>
    <xf numFmtId="0" fontId="9" fillId="0" borderId="21" xfId="0" applyFont="1" applyBorder="1" applyAlignment="1">
      <alignment horizontal="left" vertical="center" wrapText="1"/>
    </xf>
    <xf numFmtId="0" fontId="8" fillId="0" borderId="0" xfId="0" applyFont="1" applyAlignment="1">
      <alignment horizontal="right" vertical="center"/>
    </xf>
    <xf numFmtId="0" fontId="8" fillId="0" borderId="7" xfId="0" applyFont="1" applyBorder="1" applyAlignment="1">
      <alignment horizontal="center" vertical="center"/>
    </xf>
    <xf numFmtId="0" fontId="8" fillId="0" borderId="4" xfId="0" applyFont="1" applyBorder="1" applyAlignment="1">
      <alignment horizontal="center" vertical="center"/>
    </xf>
    <xf numFmtId="0" fontId="8" fillId="0" borderId="60" xfId="0" applyFont="1" applyBorder="1" applyAlignment="1">
      <alignment horizontal="center" vertical="center"/>
    </xf>
    <xf numFmtId="0" fontId="8" fillId="0" borderId="0" xfId="0" applyFont="1" applyAlignment="1">
      <alignment horizontal="left" vertical="center" wrapText="1"/>
    </xf>
    <xf numFmtId="0" fontId="7" fillId="0" borderId="8" xfId="0" applyFont="1" applyBorder="1" applyAlignment="1">
      <alignment horizontal="center" vertical="center"/>
    </xf>
    <xf numFmtId="0" fontId="7" fillId="0" borderId="9" xfId="0" applyFont="1" applyBorder="1" applyAlignment="1">
      <alignment horizontal="center" vertical="center"/>
    </xf>
    <xf numFmtId="0" fontId="7" fillId="0" borderId="54" xfId="0" applyFont="1" applyBorder="1" applyAlignment="1">
      <alignment horizontal="center" vertical="center"/>
    </xf>
    <xf numFmtId="0" fontId="7" fillId="0" borderId="7" xfId="0" applyFont="1" applyBorder="1" applyAlignment="1">
      <alignment horizontal="center" vertical="center"/>
    </xf>
    <xf numFmtId="0" fontId="7" fillId="0" borderId="4" xfId="0" applyFont="1" applyBorder="1" applyAlignment="1">
      <alignment horizontal="center" vertical="center"/>
    </xf>
    <xf numFmtId="0" fontId="7" fillId="0" borderId="60" xfId="0" applyFont="1" applyBorder="1" applyAlignment="1">
      <alignment horizontal="center" vertical="center"/>
    </xf>
    <xf numFmtId="0" fontId="8" fillId="0" borderId="0" xfId="0" applyFont="1" applyAlignment="1">
      <alignment horizontal="left" vertical="center"/>
    </xf>
    <xf numFmtId="9" fontId="8" fillId="0" borderId="0" xfId="0" applyNumberFormat="1" applyFont="1" applyAlignment="1">
      <alignment horizontal="right" vertical="center" wrapText="1"/>
    </xf>
    <xf numFmtId="9" fontId="7" fillId="0" borderId="0" xfId="0" applyNumberFormat="1" applyFont="1" applyAlignment="1">
      <alignment horizontal="right" vertical="center" wrapText="1"/>
    </xf>
    <xf numFmtId="9" fontId="7" fillId="0" borderId="0" xfId="0" applyNumberFormat="1" applyFont="1" applyAlignment="1">
      <alignment horizontal="center" vertical="center" wrapText="1"/>
    </xf>
    <xf numFmtId="9" fontId="8" fillId="0" borderId="0" xfId="0" applyNumberFormat="1" applyFont="1" applyAlignment="1">
      <alignment horizontal="center" vertical="center"/>
    </xf>
    <xf numFmtId="0" fontId="15" fillId="0" borderId="59" xfId="0" applyFont="1" applyBorder="1" applyAlignment="1">
      <alignment horizontal="center" vertical="center"/>
    </xf>
    <xf numFmtId="0" fontId="15" fillId="0" borderId="4" xfId="0" applyFont="1" applyBorder="1" applyAlignment="1">
      <alignment horizontal="center" vertical="center"/>
    </xf>
    <xf numFmtId="0" fontId="15" fillId="0" borderId="0" xfId="0" applyFont="1" applyAlignment="1">
      <alignment horizontal="center" vertical="center"/>
    </xf>
    <xf numFmtId="0" fontId="15" fillId="0" borderId="7" xfId="0" applyFont="1" applyBorder="1" applyAlignment="1">
      <alignment horizontal="center" vertical="center"/>
    </xf>
    <xf numFmtId="0" fontId="15" fillId="0" borderId="6" xfId="0" applyFont="1" applyBorder="1" applyAlignment="1">
      <alignment horizontal="center" vertical="center"/>
    </xf>
    <xf numFmtId="0" fontId="15" fillId="0" borderId="5" xfId="0" applyFont="1" applyBorder="1" applyAlignment="1">
      <alignment horizontal="center" vertical="center"/>
    </xf>
    <xf numFmtId="0" fontId="15" fillId="0" borderId="58" xfId="0" applyFont="1" applyBorder="1" applyAlignment="1">
      <alignment horizontal="center" vertical="center"/>
    </xf>
    <xf numFmtId="0" fontId="15" fillId="0" borderId="7" xfId="0" applyFont="1" applyBorder="1" applyAlignment="1">
      <alignment horizontal="right" vertical="center"/>
    </xf>
    <xf numFmtId="0" fontId="10" fillId="0" borderId="0" xfId="0" applyFont="1" applyAlignment="1">
      <alignment horizontal="right" vertical="center"/>
    </xf>
    <xf numFmtId="0" fontId="10" fillId="0" borderId="4" xfId="0" applyFont="1" applyBorder="1" applyAlignment="1">
      <alignment horizontal="right" vertical="center"/>
    </xf>
    <xf numFmtId="0" fontId="10" fillId="0" borderId="60" xfId="0" applyFont="1" applyBorder="1" applyAlignment="1">
      <alignment horizontal="right" vertical="center"/>
    </xf>
    <xf numFmtId="0" fontId="10" fillId="0" borderId="7" xfId="0" applyFont="1" applyBorder="1" applyAlignment="1">
      <alignment horizontal="right" vertical="center"/>
    </xf>
    <xf numFmtId="0" fontId="10" fillId="0" borderId="61" xfId="0" applyFont="1" applyBorder="1" applyAlignment="1">
      <alignment horizontal="right" vertical="center"/>
    </xf>
    <xf numFmtId="9" fontId="11" fillId="0" borderId="0" xfId="0" applyNumberFormat="1" applyFont="1" applyAlignment="1">
      <alignment horizontal="right" vertical="center"/>
    </xf>
    <xf numFmtId="9" fontId="11" fillId="0" borderId="4" xfId="0" applyNumberFormat="1" applyFont="1" applyBorder="1" applyAlignment="1">
      <alignment horizontal="right" vertical="center"/>
    </xf>
    <xf numFmtId="9" fontId="11" fillId="0" borderId="60" xfId="0" applyNumberFormat="1" applyFont="1" applyBorder="1" applyAlignment="1">
      <alignment horizontal="right" vertical="center"/>
    </xf>
    <xf numFmtId="0" fontId="11" fillId="0" borderId="11" xfId="0" applyFont="1" applyBorder="1" applyAlignment="1">
      <alignment horizontal="right" vertical="center"/>
    </xf>
    <xf numFmtId="9" fontId="11" fillId="0" borderId="13" xfId="0" applyNumberFormat="1" applyFont="1" applyBorder="1" applyAlignment="1">
      <alignment horizontal="right" vertical="center"/>
    </xf>
    <xf numFmtId="9" fontId="11" fillId="0" borderId="12" xfId="0" applyNumberFormat="1" applyFont="1" applyBorder="1" applyAlignment="1">
      <alignment horizontal="right" vertical="center"/>
    </xf>
    <xf numFmtId="0" fontId="3" fillId="0" borderId="55" xfId="0" applyFont="1" applyBorder="1" applyAlignment="1">
      <alignment horizontal="left" vertical="center" wrapText="1"/>
    </xf>
    <xf numFmtId="0" fontId="3" fillId="0" borderId="42" xfId="0" applyFont="1" applyBorder="1" applyAlignment="1">
      <alignment horizontal="left" vertical="center" wrapText="1"/>
    </xf>
    <xf numFmtId="9" fontId="3" fillId="0" borderId="55" xfId="0" applyNumberFormat="1" applyFont="1" applyBorder="1" applyAlignment="1">
      <alignment horizontal="left" vertical="center" wrapText="1"/>
    </xf>
    <xf numFmtId="0" fontId="3" fillId="0" borderId="4" xfId="0" applyFont="1" applyBorder="1" applyAlignment="1">
      <alignment horizontal="left" vertical="center" wrapText="1"/>
    </xf>
    <xf numFmtId="9" fontId="3" fillId="0" borderId="12" xfId="0" applyNumberFormat="1" applyFont="1" applyBorder="1" applyAlignment="1">
      <alignment horizontal="left" vertical="center" wrapText="1"/>
    </xf>
    <xf numFmtId="9" fontId="3" fillId="0" borderId="0" xfId="0" applyNumberFormat="1" applyFont="1" applyAlignment="1">
      <alignment horizontal="left" vertical="center" wrapText="1"/>
    </xf>
    <xf numFmtId="0" fontId="7" fillId="0" borderId="16" xfId="0" applyFont="1" applyBorder="1" applyAlignment="1">
      <alignment horizontal="left" vertical="center" wrapText="1"/>
    </xf>
    <xf numFmtId="0" fontId="7" fillId="0" borderId="7" xfId="0" applyFont="1" applyBorder="1" applyAlignment="1">
      <alignment horizontal="left" vertical="center" wrapText="1"/>
    </xf>
    <xf numFmtId="0" fontId="8" fillId="0" borderId="55" xfId="0" applyFont="1" applyBorder="1" applyAlignment="1">
      <alignment horizontal="right" vertical="center" wrapText="1"/>
    </xf>
    <xf numFmtId="0" fontId="7" fillId="0" borderId="0" xfId="0" applyFont="1" applyAlignment="1">
      <alignment horizontal="right" vertical="center" wrapText="1"/>
    </xf>
    <xf numFmtId="0" fontId="7" fillId="0" borderId="4" xfId="0" applyFont="1" applyBorder="1" applyAlignment="1">
      <alignment horizontal="right" vertical="center" wrapText="1"/>
    </xf>
    <xf numFmtId="0" fontId="7" fillId="0" borderId="60" xfId="0" applyFont="1" applyBorder="1" applyAlignment="1">
      <alignment horizontal="right" vertical="center" wrapText="1"/>
    </xf>
    <xf numFmtId="0" fontId="8" fillId="0" borderId="4" xfId="0" applyFont="1" applyBorder="1" applyAlignment="1">
      <alignment horizontal="right" vertical="center" wrapText="1"/>
    </xf>
    <xf numFmtId="9" fontId="8" fillId="0" borderId="55" xfId="0" applyNumberFormat="1" applyFont="1" applyBorder="1" applyAlignment="1">
      <alignment horizontal="center" vertical="center" wrapText="1"/>
    </xf>
    <xf numFmtId="9" fontId="7" fillId="0" borderId="4" xfId="0" applyNumberFormat="1" applyFont="1" applyBorder="1" applyAlignment="1">
      <alignment horizontal="center" vertical="center" wrapText="1"/>
    </xf>
    <xf numFmtId="9" fontId="7" fillId="0" borderId="60" xfId="0" applyNumberFormat="1" applyFont="1" applyBorder="1" applyAlignment="1">
      <alignment horizontal="center" vertical="center" wrapText="1"/>
    </xf>
    <xf numFmtId="9" fontId="8" fillId="0" borderId="55" xfId="0" applyNumberFormat="1" applyFont="1" applyBorder="1" applyAlignment="1">
      <alignment horizontal="center" vertical="center"/>
    </xf>
    <xf numFmtId="9" fontId="8" fillId="0" borderId="16" xfId="0" applyNumberFormat="1" applyFont="1" applyBorder="1" applyAlignment="1">
      <alignment horizontal="center" vertical="center" wrapText="1"/>
    </xf>
    <xf numFmtId="9" fontId="7" fillId="0" borderId="19" xfId="0" applyNumberFormat="1" applyFont="1" applyBorder="1" applyAlignment="1">
      <alignment horizontal="center" vertical="center" wrapText="1"/>
    </xf>
    <xf numFmtId="9" fontId="7" fillId="0" borderId="16" xfId="0" applyNumberFormat="1" applyFont="1" applyBorder="1" applyAlignment="1">
      <alignment horizontal="center" vertical="center" wrapText="1"/>
    </xf>
    <xf numFmtId="0" fontId="7" fillId="0" borderId="4" xfId="0" applyFont="1" applyBorder="1" applyAlignment="1">
      <alignment horizontal="left" vertical="center" wrapText="1"/>
    </xf>
    <xf numFmtId="0" fontId="7" fillId="0" borderId="11" xfId="0" applyFont="1" applyBorder="1" applyAlignment="1">
      <alignment horizontal="left" vertical="center" wrapText="1"/>
    </xf>
    <xf numFmtId="0" fontId="8" fillId="0" borderId="45" xfId="0" applyFont="1" applyBorder="1" applyAlignment="1">
      <alignment horizontal="right" vertical="center"/>
    </xf>
    <xf numFmtId="0" fontId="8" fillId="0" borderId="45" xfId="0" applyFont="1" applyBorder="1" applyAlignment="1">
      <alignment horizontal="center" vertical="center"/>
    </xf>
    <xf numFmtId="9" fontId="8" fillId="0" borderId="45" xfId="0" applyNumberFormat="1" applyFont="1" applyBorder="1" applyAlignment="1">
      <alignment horizontal="center" vertical="center"/>
    </xf>
    <xf numFmtId="9" fontId="7" fillId="0" borderId="0" xfId="0" applyNumberFormat="1" applyFont="1" applyAlignment="1">
      <alignment horizontal="center" vertical="center"/>
    </xf>
    <xf numFmtId="9" fontId="8" fillId="0" borderId="12" xfId="0" applyNumberFormat="1" applyFont="1" applyBorder="1" applyAlignment="1">
      <alignment horizontal="right" vertical="center" wrapText="1"/>
    </xf>
    <xf numFmtId="9" fontId="7" fillId="0" borderId="13" xfId="0" applyNumberFormat="1" applyFont="1" applyBorder="1" applyAlignment="1">
      <alignment horizontal="right" vertical="center" wrapText="1"/>
    </xf>
    <xf numFmtId="9" fontId="7" fillId="0" borderId="12" xfId="0" applyNumberFormat="1" applyFont="1" applyBorder="1" applyAlignment="1">
      <alignment horizontal="right" vertical="center" wrapText="1"/>
    </xf>
    <xf numFmtId="9" fontId="7" fillId="0" borderId="13" xfId="0" applyNumberFormat="1" applyFont="1" applyBorder="1" applyAlignment="1">
      <alignment horizontal="center" vertical="center" wrapText="1"/>
    </xf>
    <xf numFmtId="9" fontId="7" fillId="0" borderId="12" xfId="0" applyNumberFormat="1" applyFont="1" applyBorder="1" applyAlignment="1">
      <alignment horizontal="center" vertical="center" wrapText="1"/>
    </xf>
    <xf numFmtId="9" fontId="7" fillId="0" borderId="60" xfId="0" applyNumberFormat="1" applyFont="1" applyBorder="1" applyAlignment="1">
      <alignment horizontal="right" vertical="center" wrapText="1"/>
    </xf>
    <xf numFmtId="0" fontId="7" fillId="0" borderId="62" xfId="0" applyFont="1" applyBorder="1"/>
    <xf numFmtId="9" fontId="8" fillId="0" borderId="45" xfId="0" applyNumberFormat="1" applyFont="1" applyBorder="1" applyAlignment="1">
      <alignment horizontal="right" vertical="center" wrapText="1"/>
    </xf>
    <xf numFmtId="9" fontId="7" fillId="0" borderId="0" xfId="0" applyNumberFormat="1" applyFont="1"/>
    <xf numFmtId="9" fontId="7" fillId="0" borderId="60" xfId="0" applyNumberFormat="1" applyFont="1" applyBorder="1"/>
    <xf numFmtId="0" fontId="7" fillId="0" borderId="60" xfId="0" applyFont="1" applyBorder="1"/>
    <xf numFmtId="0" fontId="6" fillId="0" borderId="0" xfId="0" applyFont="1" applyAlignment="1">
      <alignment horizontal="left" vertical="center"/>
    </xf>
    <xf numFmtId="0" fontId="14" fillId="0" borderId="0" xfId="0" applyFont="1" applyAlignment="1">
      <alignment horizontal="left" vertical="center"/>
    </xf>
    <xf numFmtId="0" fontId="7" fillId="0" borderId="10" xfId="0" applyFont="1" applyBorder="1" applyAlignment="1">
      <alignment horizontal="left" vertical="center" wrapText="1"/>
    </xf>
    <xf numFmtId="0" fontId="7" fillId="0" borderId="0" xfId="0" applyFont="1" applyAlignment="1">
      <alignment horizontal="left" vertical="center" wrapText="1"/>
    </xf>
    <xf numFmtId="0" fontId="8" fillId="0" borderId="55" xfId="0" applyFont="1" applyBorder="1" applyAlignment="1">
      <alignment horizontal="center" vertical="center" wrapText="1"/>
    </xf>
    <xf numFmtId="0" fontId="7" fillId="0" borderId="0" xfId="0" applyFont="1" applyAlignment="1">
      <alignment horizontal="center" vertical="center" wrapText="1"/>
    </xf>
    <xf numFmtId="0" fontId="7" fillId="0" borderId="4" xfId="0" applyFont="1" applyBorder="1" applyAlignment="1">
      <alignment horizontal="center" vertical="center" wrapText="1"/>
    </xf>
    <xf numFmtId="0" fontId="7" fillId="0" borderId="60" xfId="0" applyFont="1" applyBorder="1" applyAlignment="1">
      <alignment horizontal="center" vertical="center" wrapText="1"/>
    </xf>
    <xf numFmtId="9" fontId="8" fillId="0" borderId="6" xfId="0" applyNumberFormat="1" applyFont="1" applyBorder="1" applyAlignment="1">
      <alignment horizontal="center" vertical="center" wrapText="1"/>
    </xf>
    <xf numFmtId="9" fontId="7" fillId="0" borderId="5" xfId="0" applyNumberFormat="1" applyFont="1" applyBorder="1" applyAlignment="1">
      <alignment horizontal="center" vertical="center" wrapText="1"/>
    </xf>
    <xf numFmtId="9" fontId="7" fillId="0" borderId="6" xfId="0" applyNumberFormat="1" applyFont="1" applyBorder="1" applyAlignment="1">
      <alignment horizontal="center" vertical="center" wrapText="1"/>
    </xf>
    <xf numFmtId="9" fontId="7" fillId="0" borderId="56" xfId="0" applyNumberFormat="1" applyFont="1" applyBorder="1" applyAlignment="1">
      <alignment horizontal="center" vertical="center" wrapText="1"/>
    </xf>
    <xf numFmtId="9" fontId="8" fillId="0" borderId="60" xfId="0" applyNumberFormat="1" applyFont="1" applyBorder="1" applyAlignment="1">
      <alignment horizontal="center" vertical="center"/>
    </xf>
    <xf numFmtId="0" fontId="8" fillId="2" borderId="45" xfId="0" applyFont="1" applyFill="1" applyBorder="1" applyAlignment="1">
      <alignment horizontal="center" vertical="center"/>
    </xf>
    <xf numFmtId="0" fontId="8" fillId="2" borderId="0" xfId="0" applyFont="1" applyFill="1" applyAlignment="1">
      <alignment horizontal="center" vertical="center"/>
    </xf>
    <xf numFmtId="0" fontId="8" fillId="2" borderId="60" xfId="0" applyFont="1" applyFill="1" applyBorder="1" applyAlignment="1">
      <alignment horizontal="center" vertical="center"/>
    </xf>
    <xf numFmtId="9" fontId="8" fillId="2" borderId="45" xfId="0" applyNumberFormat="1" applyFont="1" applyFill="1" applyBorder="1" applyAlignment="1">
      <alignment horizontal="center" vertical="center"/>
    </xf>
    <xf numFmtId="9" fontId="8" fillId="2" borderId="0" xfId="0" applyNumberFormat="1" applyFont="1" applyFill="1" applyAlignment="1">
      <alignment horizontal="center" vertical="center"/>
    </xf>
    <xf numFmtId="9" fontId="8" fillId="2" borderId="60" xfId="0" applyNumberFormat="1" applyFont="1" applyFill="1" applyBorder="1" applyAlignment="1">
      <alignment horizontal="center" vertical="center"/>
    </xf>
    <xf numFmtId="0" fontId="11" fillId="0" borderId="63" xfId="0" applyFont="1" applyBorder="1" applyAlignment="1">
      <alignment horizontal="right" vertical="center"/>
    </xf>
    <xf numFmtId="0" fontId="11" fillId="0" borderId="4" xfId="0" applyFont="1" applyBorder="1" applyAlignment="1">
      <alignment horizontal="right" vertical="center"/>
    </xf>
    <xf numFmtId="0" fontId="10" fillId="0" borderId="63" xfId="0" applyFont="1" applyBorder="1" applyAlignment="1">
      <alignment horizontal="right" vertical="center"/>
    </xf>
    <xf numFmtId="0" fontId="9" fillId="0" borderId="8" xfId="0" applyFont="1" applyBorder="1" applyAlignment="1">
      <alignment horizontal="center" vertical="center" wrapText="1"/>
    </xf>
    <xf numFmtId="0" fontId="9" fillId="0" borderId="6" xfId="0" applyFont="1" applyBorder="1" applyAlignment="1">
      <alignment horizontal="left" vertical="center" wrapText="1"/>
    </xf>
    <xf numFmtId="9" fontId="7" fillId="0" borderId="60" xfId="0" applyNumberFormat="1" applyFont="1" applyBorder="1" applyAlignment="1">
      <alignment horizontal="center" vertical="center"/>
    </xf>
    <xf numFmtId="0" fontId="11" fillId="0" borderId="54" xfId="0" applyFont="1" applyBorder="1" applyAlignment="1">
      <alignment horizontal="center" vertical="center"/>
    </xf>
    <xf numFmtId="0" fontId="15" fillId="0" borderId="15" xfId="0" applyFont="1" applyBorder="1" applyAlignment="1">
      <alignment horizontal="center" vertical="center"/>
    </xf>
    <xf numFmtId="0" fontId="11" fillId="0" borderId="60" xfId="0" applyFont="1" applyBorder="1" applyAlignment="1">
      <alignment horizontal="right" vertical="center"/>
    </xf>
    <xf numFmtId="0" fontId="3" fillId="0" borderId="45" xfId="0" applyFont="1" applyBorder="1" applyAlignment="1">
      <alignment horizontal="left" vertical="center" wrapText="1"/>
    </xf>
    <xf numFmtId="9" fontId="3" fillId="0" borderId="45" xfId="0" applyNumberFormat="1" applyFont="1" applyBorder="1" applyAlignment="1">
      <alignment horizontal="left" vertical="center" wrapText="1"/>
    </xf>
    <xf numFmtId="1" fontId="4" fillId="0" borderId="0" xfId="0" applyNumberFormat="1" applyFont="1" applyAlignment="1">
      <alignment horizontal="center" vertical="center"/>
    </xf>
    <xf numFmtId="1" fontId="4" fillId="0" borderId="0" xfId="0" applyNumberFormat="1" applyFont="1" applyAlignment="1">
      <alignment horizontal="right" vertical="center"/>
    </xf>
    <xf numFmtId="0" fontId="2" fillId="0" borderId="0" xfId="0" applyFont="1" applyAlignment="1">
      <alignment horizontal="left" vertical="center" wrapText="1"/>
    </xf>
    <xf numFmtId="0" fontId="3" fillId="0" borderId="0" xfId="0" applyFont="1"/>
    <xf numFmtId="0" fontId="8" fillId="0" borderId="0" xfId="0" applyFont="1"/>
    <xf numFmtId="0" fontId="11" fillId="0" borderId="0" xfId="0" applyFont="1"/>
    <xf numFmtId="0" fontId="16" fillId="0" borderId="0" xfId="0" applyFont="1" applyAlignment="1">
      <alignment horizontal="center" vertical="center"/>
    </xf>
    <xf numFmtId="0" fontId="17" fillId="0" borderId="0" xfId="0" applyFont="1" applyAlignment="1">
      <alignment horizontal="center" vertical="center"/>
    </xf>
    <xf numFmtId="0" fontId="3" fillId="0" borderId="23" xfId="0" applyFont="1" applyBorder="1" applyAlignment="1">
      <alignment horizontal="center" vertical="center" wrapText="1"/>
    </xf>
    <xf numFmtId="0" fontId="2" fillId="0" borderId="24" xfId="0" applyFont="1" applyBorder="1"/>
    <xf numFmtId="0" fontId="2" fillId="0" borderId="54" xfId="0" applyFont="1" applyBorder="1"/>
    <xf numFmtId="0" fontId="2" fillId="0" borderId="23" xfId="0" applyFont="1" applyBorder="1" applyAlignment="1">
      <alignment horizontal="left" vertical="center" wrapText="1"/>
    </xf>
    <xf numFmtId="0" fontId="2" fillId="0" borderId="40" xfId="0" applyFont="1" applyBorder="1" applyAlignment="1">
      <alignment horizontal="left" vertical="center"/>
    </xf>
    <xf numFmtId="0" fontId="3" fillId="0" borderId="7" xfId="0" applyFont="1" applyBorder="1" applyAlignment="1">
      <alignment horizontal="left" vertical="center" wrapText="1"/>
    </xf>
    <xf numFmtId="0" fontId="3" fillId="0" borderId="10" xfId="0" applyFont="1" applyBorder="1" applyAlignment="1">
      <alignment horizontal="left" vertical="center" wrapText="1"/>
    </xf>
    <xf numFmtId="0" fontId="2" fillId="0" borderId="53" xfId="0" applyFont="1" applyBorder="1" applyAlignment="1">
      <alignment horizontal="left" vertical="center" wrapText="1"/>
    </xf>
    <xf numFmtId="0" fontId="2" fillId="0" borderId="53" xfId="0" applyFont="1" applyBorder="1" applyAlignment="1">
      <alignment horizontal="left" vertical="center"/>
    </xf>
    <xf numFmtId="0" fontId="3" fillId="0" borderId="2" xfId="0" applyFont="1" applyBorder="1" applyAlignment="1">
      <alignment horizontal="left" vertical="center" wrapText="1"/>
    </xf>
    <xf numFmtId="0" fontId="3" fillId="0" borderId="40" xfId="0" applyFont="1" applyBorder="1" applyAlignment="1">
      <alignment horizontal="left" vertical="center" wrapText="1"/>
    </xf>
    <xf numFmtId="0" fontId="2" fillId="0" borderId="43" xfId="0" applyFont="1" applyBorder="1" applyAlignment="1">
      <alignment horizontal="left" vertical="center" wrapText="1"/>
    </xf>
    <xf numFmtId="0" fontId="2" fillId="0" borderId="44" xfId="0" applyFont="1" applyBorder="1" applyAlignment="1">
      <alignment horizontal="left" vertical="center"/>
    </xf>
    <xf numFmtId="0" fontId="2" fillId="0" borderId="44" xfId="0" applyFont="1" applyBorder="1"/>
    <xf numFmtId="0" fontId="7" fillId="0" borderId="7" xfId="0" applyFont="1" applyBorder="1" applyAlignment="1">
      <alignment horizontal="center" vertical="center"/>
    </xf>
    <xf numFmtId="0" fontId="11" fillId="0" borderId="7" xfId="0" applyFont="1" applyBorder="1" applyAlignment="1">
      <alignment horizontal="right" vertical="center"/>
    </xf>
    <xf numFmtId="0" fontId="9" fillId="0" borderId="3" xfId="0" applyFont="1" applyBorder="1" applyAlignment="1">
      <alignment horizontal="center" vertical="center" wrapText="1"/>
    </xf>
    <xf numFmtId="0" fontId="9" fillId="0" borderId="57" xfId="0" applyFont="1" applyBorder="1" applyAlignment="1">
      <alignment horizontal="center" vertical="center" wrapText="1"/>
    </xf>
    <xf numFmtId="0" fontId="9" fillId="0" borderId="1" xfId="0" applyFont="1" applyBorder="1" applyAlignment="1">
      <alignment horizontal="center" vertical="center" wrapText="1"/>
    </xf>
    <xf numFmtId="0" fontId="9" fillId="0" borderId="54" xfId="0" applyFont="1" applyBorder="1" applyAlignment="1">
      <alignment horizontal="center" vertical="center" wrapText="1"/>
    </xf>
    <xf numFmtId="0" fontId="9" fillId="0" borderId="1" xfId="0" applyFont="1" applyBorder="1" applyAlignment="1">
      <alignment horizontal="left" vertical="center" wrapText="1"/>
    </xf>
    <xf numFmtId="0" fontId="15" fillId="0" borderId="1" xfId="0" applyFont="1" applyBorder="1" applyAlignment="1">
      <alignment horizontal="center" vertical="center"/>
    </xf>
    <xf numFmtId="0" fontId="7" fillId="0" borderId="2" xfId="0" applyFont="1" applyBorder="1" applyAlignment="1">
      <alignment horizontal="center" vertical="center"/>
    </xf>
    <xf numFmtId="0" fontId="11" fillId="0" borderId="2" xfId="0" applyFont="1" applyBorder="1" applyAlignment="1">
      <alignment horizontal="right" vertical="center"/>
    </xf>
    <xf numFmtId="0" fontId="9" fillId="0" borderId="6" xfId="0" applyFont="1" applyBorder="1" applyAlignment="1">
      <alignment horizontal="center" vertical="center" wrapText="1"/>
    </xf>
    <xf numFmtId="0" fontId="7" fillId="0" borderId="7" xfId="0" applyFont="1" applyBorder="1" applyAlignment="1">
      <alignment horizontal="left" vertical="center" wrapText="1"/>
    </xf>
    <xf numFmtId="0" fontId="7" fillId="0" borderId="17" xfId="0" applyFont="1" applyBorder="1" applyAlignment="1">
      <alignment horizontal="left" vertical="center"/>
    </xf>
    <xf numFmtId="0" fontId="7" fillId="0" borderId="18" xfId="0" applyFont="1" applyBorder="1" applyAlignment="1">
      <alignment horizontal="left" vertical="center"/>
    </xf>
    <xf numFmtId="0" fontId="7" fillId="0" borderId="10" xfId="0" applyFont="1" applyBorder="1" applyAlignment="1">
      <alignment horizontal="left" vertical="center" wrapText="1"/>
    </xf>
    <xf numFmtId="0" fontId="9" fillId="0" borderId="20" xfId="0" applyFont="1" applyBorder="1" applyAlignment="1">
      <alignment horizontal="center" vertical="center" wrapText="1"/>
    </xf>
    <xf numFmtId="0" fontId="9" fillId="0" borderId="20" xfId="0" applyFont="1" applyBorder="1" applyAlignment="1">
      <alignment horizontal="left" vertical="center" wrapText="1"/>
    </xf>
    <xf numFmtId="0" fontId="15" fillId="0" borderId="20" xfId="0" applyFont="1" applyBorder="1" applyAlignment="1">
      <alignment horizontal="center" vertical="center"/>
    </xf>
    <xf numFmtId="0" fontId="10" fillId="0" borderId="0" xfId="0" applyFont="1" applyAlignment="1">
      <alignment horizontal="right" vertical="center"/>
    </xf>
    <xf numFmtId="0" fontId="8" fillId="0" borderId="0" xfId="0" applyFont="1" applyAlignment="1">
      <alignment horizontal="center" vertical="center"/>
    </xf>
    <xf numFmtId="0" fontId="11" fillId="0" borderId="0" xfId="0" applyFont="1" applyAlignment="1">
      <alignment horizontal="right" vertical="center"/>
    </xf>
    <xf numFmtId="0" fontId="7" fillId="0" borderId="0" xfId="0" applyFont="1" applyAlignment="1">
      <alignment horizontal="center" vertical="center"/>
    </xf>
    <xf numFmtId="0" fontId="9" fillId="0" borderId="10" xfId="0" applyFont="1" applyBorder="1" applyAlignment="1">
      <alignment horizontal="center" vertical="center" wrapText="1"/>
    </xf>
    <xf numFmtId="0" fontId="2" fillId="0" borderId="64" xfId="0" applyFont="1" applyBorder="1" applyAlignment="1">
      <alignment horizontal="left" vertical="center" wrapText="1"/>
    </xf>
    <xf numFmtId="0" fontId="2" fillId="0" borderId="0" xfId="0" applyFont="1" applyAlignment="1">
      <alignment horizontal="left" vertical="top"/>
    </xf>
    <xf numFmtId="0" fontId="2"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34" Type="http://schemas.microsoft.com/office/2022/10/relationships/richValueRel" Target="richData/richValueRel.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eetMetadata" Target="metadata.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37" Type="http://schemas.microsoft.com/office/2017/06/relationships/rdRichValueTypes" Target="richData/rdRichValueType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355680</xdr:colOff>
      <xdr:row>10</xdr:row>
      <xdr:rowOff>50760</xdr:rowOff>
    </xdr:from>
    <xdr:to>
      <xdr:col>1</xdr:col>
      <xdr:colOff>1202040</xdr:colOff>
      <xdr:row>13</xdr:row>
      <xdr:rowOff>166870</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338760</xdr:colOff>
      <xdr:row>10</xdr:row>
      <xdr:rowOff>67680</xdr:rowOff>
    </xdr:from>
    <xdr:to>
      <xdr:col>1</xdr:col>
      <xdr:colOff>1185120</xdr:colOff>
      <xdr:row>13</xdr:row>
      <xdr:rowOff>183790</xdr:rowOff>
    </xdr:to>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372600</xdr:colOff>
      <xdr:row>10</xdr:row>
      <xdr:rowOff>67680</xdr:rowOff>
    </xdr:from>
    <xdr:to>
      <xdr:col>1</xdr:col>
      <xdr:colOff>1218960</xdr:colOff>
      <xdr:row>13</xdr:row>
      <xdr:rowOff>183790</xdr:rowOff>
    </xdr:to>
    <xdr:pic>
      <xdr:nvPicPr>
        <xdr:cNvPr id="2" name="Picture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372600</xdr:colOff>
      <xdr:row>10</xdr:row>
      <xdr:rowOff>84600</xdr:rowOff>
    </xdr:from>
    <xdr:to>
      <xdr:col>1</xdr:col>
      <xdr:colOff>1218960</xdr:colOff>
      <xdr:row>13</xdr:row>
      <xdr:rowOff>200710</xdr:rowOff>
    </xdr:to>
    <xdr:pic>
      <xdr:nvPicPr>
        <xdr:cNvPr id="2" name="Picture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1:D41"/>
  <sheetViews>
    <sheetView showGridLines="0" tabSelected="1" zoomScale="60" zoomScaleNormal="60" workbookViewId="0"/>
  </sheetViews>
  <sheetFormatPr defaultColWidth="0" defaultRowHeight="19" customHeight="1" x14ac:dyDescent="0.4"/>
  <cols>
    <col min="1" max="1" width="14.6328125" style="101" customWidth="1"/>
    <col min="2" max="2" width="255.7265625" style="101" customWidth="1"/>
    <col min="3" max="3" width="20.6328125" style="101" customWidth="1"/>
    <col min="4" max="4" width="8.81640625" style="101" customWidth="1"/>
    <col min="5" max="5" width="8.81640625" style="101" hidden="1" customWidth="1"/>
    <col min="6" max="16384" width="8.81640625" style="101" hidden="1"/>
  </cols>
  <sheetData>
    <row r="1" spans="1:3" ht="18" x14ac:dyDescent="0.4">
      <c r="A1" s="101" t="s">
        <v>0</v>
      </c>
    </row>
    <row r="2" spans="1:3" ht="18" x14ac:dyDescent="0.4">
      <c r="A2" s="3" t="s">
        <v>442</v>
      </c>
      <c r="B2" s="259"/>
    </row>
    <row r="3" spans="1:3" ht="18" x14ac:dyDescent="0.4">
      <c r="A3" s="3" t="s">
        <v>1</v>
      </c>
      <c r="B3" s="259"/>
    </row>
    <row r="4" spans="1:3" ht="18" x14ac:dyDescent="0.4">
      <c r="A4" s="3" t="s">
        <v>2</v>
      </c>
      <c r="B4" s="259"/>
    </row>
    <row r="5" spans="1:3" ht="18" x14ac:dyDescent="0.4"/>
    <row r="6" spans="1:3" s="216" customFormat="1" x14ac:dyDescent="0.5">
      <c r="A6" s="2" t="s">
        <v>3</v>
      </c>
      <c r="B6" s="216" t="s">
        <v>4</v>
      </c>
      <c r="C6" s="216" t="s">
        <v>5</v>
      </c>
    </row>
    <row r="7" spans="1:3" x14ac:dyDescent="0.4">
      <c r="A7" s="219" t="s">
        <v>6</v>
      </c>
      <c r="B7" s="101" t="s">
        <v>420</v>
      </c>
      <c r="C7" s="101" t="s">
        <v>415</v>
      </c>
    </row>
    <row r="8" spans="1:3" x14ac:dyDescent="0.4">
      <c r="A8" s="219" t="s">
        <v>8</v>
      </c>
      <c r="B8" s="101" t="s">
        <v>421</v>
      </c>
      <c r="C8" s="101" t="s">
        <v>415</v>
      </c>
    </row>
    <row r="9" spans="1:3" x14ac:dyDescent="0.4">
      <c r="A9" s="219" t="s">
        <v>9</v>
      </c>
      <c r="B9" s="101" t="s">
        <v>422</v>
      </c>
      <c r="C9" s="101" t="s">
        <v>415</v>
      </c>
    </row>
    <row r="10" spans="1:3" x14ac:dyDescent="0.4">
      <c r="A10" s="219" t="s">
        <v>10</v>
      </c>
      <c r="B10" s="101" t="s">
        <v>423</v>
      </c>
      <c r="C10" s="101" t="s">
        <v>415</v>
      </c>
    </row>
    <row r="11" spans="1:3" x14ac:dyDescent="0.4">
      <c r="A11" s="219" t="s">
        <v>11</v>
      </c>
      <c r="B11" s="101" t="s">
        <v>424</v>
      </c>
      <c r="C11" s="101" t="s">
        <v>415</v>
      </c>
    </row>
    <row r="12" spans="1:3" x14ac:dyDescent="0.4">
      <c r="A12" s="219" t="s">
        <v>12</v>
      </c>
      <c r="B12" s="101" t="s">
        <v>425</v>
      </c>
      <c r="C12" s="101" t="s">
        <v>415</v>
      </c>
    </row>
    <row r="13" spans="1:3" x14ac:dyDescent="0.4">
      <c r="A13" s="219" t="s">
        <v>435</v>
      </c>
      <c r="B13" s="101" t="s">
        <v>426</v>
      </c>
      <c r="C13" s="101" t="s">
        <v>415</v>
      </c>
    </row>
    <row r="14" spans="1:3" x14ac:dyDescent="0.4">
      <c r="A14" s="219" t="s">
        <v>436</v>
      </c>
      <c r="B14" s="101" t="s">
        <v>427</v>
      </c>
      <c r="C14" s="101" t="s">
        <v>415</v>
      </c>
    </row>
    <row r="15" spans="1:3" x14ac:dyDescent="0.4">
      <c r="A15" s="219" t="s">
        <v>13</v>
      </c>
      <c r="B15" s="101" t="s">
        <v>428</v>
      </c>
      <c r="C15" s="101" t="s">
        <v>415</v>
      </c>
    </row>
    <row r="16" spans="1:3" x14ac:dyDescent="0.4">
      <c r="A16" s="219" t="s">
        <v>14</v>
      </c>
      <c r="B16" s="101" t="s">
        <v>429</v>
      </c>
      <c r="C16" s="101" t="s">
        <v>415</v>
      </c>
    </row>
    <row r="17" spans="1:3" x14ac:dyDescent="0.4">
      <c r="A17" s="219" t="s">
        <v>15</v>
      </c>
      <c r="B17" s="101" t="s">
        <v>430</v>
      </c>
      <c r="C17" s="101" t="s">
        <v>415</v>
      </c>
    </row>
    <row r="18" spans="1:3" x14ac:dyDescent="0.4">
      <c r="A18" s="219" t="s">
        <v>437</v>
      </c>
      <c r="B18" s="101" t="s">
        <v>431</v>
      </c>
      <c r="C18" s="101" t="s">
        <v>415</v>
      </c>
    </row>
    <row r="19" spans="1:3" x14ac:dyDescent="0.4">
      <c r="A19" s="219" t="s">
        <v>438</v>
      </c>
      <c r="B19" s="101" t="s">
        <v>416</v>
      </c>
      <c r="C19" s="101" t="s">
        <v>443</v>
      </c>
    </row>
    <row r="20" spans="1:3" x14ac:dyDescent="0.4">
      <c r="A20" s="219" t="s">
        <v>439</v>
      </c>
      <c r="B20" s="101" t="s">
        <v>417</v>
      </c>
      <c r="C20" s="101" t="s">
        <v>444</v>
      </c>
    </row>
    <row r="21" spans="1:3" x14ac:dyDescent="0.4">
      <c r="A21" s="219" t="s">
        <v>440</v>
      </c>
      <c r="B21" s="260" t="s">
        <v>418</v>
      </c>
      <c r="C21" s="101" t="s">
        <v>445</v>
      </c>
    </row>
    <row r="22" spans="1:3" x14ac:dyDescent="0.4">
      <c r="A22" s="219" t="s">
        <v>441</v>
      </c>
      <c r="B22" s="260" t="s">
        <v>419</v>
      </c>
      <c r="C22" s="101" t="s">
        <v>446</v>
      </c>
    </row>
    <row r="23" spans="1:3" x14ac:dyDescent="0.4">
      <c r="A23" s="219" t="s">
        <v>16</v>
      </c>
      <c r="B23" s="260" t="s">
        <v>432</v>
      </c>
      <c r="C23" s="101" t="s">
        <v>415</v>
      </c>
    </row>
    <row r="24" spans="1:3" x14ac:dyDescent="0.4">
      <c r="A24" s="219" t="s">
        <v>17</v>
      </c>
      <c r="B24" s="260" t="s">
        <v>433</v>
      </c>
      <c r="C24" s="101" t="s">
        <v>415</v>
      </c>
    </row>
    <row r="25" spans="1:3" x14ac:dyDescent="0.4">
      <c r="A25" s="219" t="s">
        <v>18</v>
      </c>
      <c r="B25" s="101" t="s">
        <v>434</v>
      </c>
      <c r="C25" s="101" t="s">
        <v>415</v>
      </c>
    </row>
    <row r="26" spans="1:3" x14ac:dyDescent="0.4">
      <c r="A26" s="219"/>
    </row>
    <row r="27" spans="1:3" x14ac:dyDescent="0.4">
      <c r="A27" s="219"/>
    </row>
    <row r="28" spans="1:3" x14ac:dyDescent="0.4">
      <c r="A28" s="219"/>
    </row>
    <row r="29" spans="1:3" ht="19" customHeight="1" x14ac:dyDescent="0.4">
      <c r="A29" s="220"/>
    </row>
    <row r="30" spans="1:3" ht="19" customHeight="1" x14ac:dyDescent="0.4">
      <c r="A30" s="220"/>
    </row>
    <row r="31" spans="1:3" ht="19" customHeight="1" x14ac:dyDescent="0.4">
      <c r="A31" s="220"/>
    </row>
    <row r="32" spans="1:3" ht="19" customHeight="1" x14ac:dyDescent="0.4">
      <c r="A32" s="220"/>
    </row>
    <row r="33" spans="1:2" ht="19" customHeight="1" x14ac:dyDescent="0.4">
      <c r="A33" s="220"/>
    </row>
    <row r="34" spans="1:2" ht="19" customHeight="1" x14ac:dyDescent="0.4">
      <c r="A34" s="220"/>
      <c r="B34" s="260"/>
    </row>
    <row r="35" spans="1:2" ht="19" customHeight="1" x14ac:dyDescent="0.4">
      <c r="A35" s="220"/>
      <c r="B35" s="260"/>
    </row>
    <row r="36" spans="1:2" ht="19" customHeight="1" x14ac:dyDescent="0.4">
      <c r="A36" s="220"/>
      <c r="B36" s="260"/>
    </row>
    <row r="37" spans="1:2" ht="19" customHeight="1" x14ac:dyDescent="0.4">
      <c r="A37" s="220"/>
      <c r="B37" s="260"/>
    </row>
    <row r="38" spans="1:2" ht="19" customHeight="1" x14ac:dyDescent="0.4">
      <c r="A38" s="220"/>
    </row>
    <row r="39" spans="1:2" ht="19" customHeight="1" x14ac:dyDescent="0.4">
      <c r="A39" s="220"/>
    </row>
    <row r="40" spans="1:2" ht="19" customHeight="1" x14ac:dyDescent="0.4">
      <c r="A40" s="220"/>
    </row>
    <row r="41" spans="1:2" ht="19" customHeight="1" x14ac:dyDescent="0.4">
      <c r="A41" s="220"/>
    </row>
  </sheetData>
  <hyperlinks>
    <hyperlink ref="A7" location="#Q1.1!A1" display="Q1.1" xr:uid="{00000000-0004-0000-0000-000000000000}"/>
    <hyperlink ref="A8" location="#Q1.2!A1" display="Q1.2" xr:uid="{00000000-0004-0000-0000-000001000000}"/>
    <hyperlink ref="A9" location="#Q2!A1" display="Q2" xr:uid="{00000000-0004-0000-0000-000002000000}"/>
    <hyperlink ref="A10" location="#Q3.1!A1" display="Q3.1" xr:uid="{00000000-0004-0000-0000-000003000000}"/>
    <hyperlink ref="A11" location="#Q3.2!A1" display="Q3.2" xr:uid="{00000000-0004-0000-0000-000004000000}"/>
    <hyperlink ref="A12" location="#Q4.2!A1" display="Q4.2" xr:uid="{00000000-0004-0000-0000-000006000000}"/>
    <hyperlink ref="A13" location="Q5a!A1" display="Q5a" xr:uid="{00000000-0004-0000-0000-000007000000}"/>
    <hyperlink ref="A14" location="Q5T!A1" display="Q5T" xr:uid="{00000000-0004-0000-0000-000009000000}"/>
    <hyperlink ref="A15" location="#DX1!A1" display="DX1" xr:uid="{00000000-0004-0000-0000-00000A000000}"/>
    <hyperlink ref="A16" location="#DX2!A1" display="DX2" xr:uid="{00000000-0004-0000-0000-00000B000000}"/>
    <hyperlink ref="A17" location="#DX5!A1" display="DX5" xr:uid="{00000000-0004-0000-0000-000010000000}"/>
    <hyperlink ref="A18" location="DX6a!A1" display="DX6a" xr:uid="{00000000-0004-0000-0000-000011000000}"/>
    <hyperlink ref="A19" location="DX6b!A1" display="DX6b" xr:uid="{00000000-0004-0000-0000-000012000000}"/>
    <hyperlink ref="A20" location="DX6c!A1" display="DX6c" xr:uid="{00000000-0004-0000-0000-000013000000}"/>
    <hyperlink ref="A21" location="DX6d!A1" display="DX6d" xr:uid="{00000000-0004-0000-0000-000014000000}"/>
    <hyperlink ref="A22" location="DX6e!A1" display="DX6e" xr:uid="{00000000-0004-0000-0000-000015000000}"/>
    <hyperlink ref="A23" location="#DX7!A1" display="DX7" xr:uid="{00000000-0004-0000-0000-000016000000}"/>
    <hyperlink ref="A24" location="#DX8!A1" display="DX8" xr:uid="{00000000-0004-0000-0000-000017000000}"/>
    <hyperlink ref="A25" location="#DX9!A1" display="DX9" xr:uid="{00000000-0004-0000-0000-000018000000}"/>
  </hyperlinks>
  <pageMargins left="0.7" right="0.7" top="0.75" bottom="0.75" header="0.511811023622047" footer="0.511811023622047"/>
  <pageSetup paperSize="9" orientation="portrait" useFirstPageNumber="1"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dimension ref="A1:AA30"/>
  <sheetViews>
    <sheetView showGridLines="0" zoomScale="60" zoomScaleNormal="60" workbookViewId="0"/>
  </sheetViews>
  <sheetFormatPr defaultColWidth="20.6328125" defaultRowHeight="19" customHeight="1" x14ac:dyDescent="0.35"/>
  <cols>
    <col min="1" max="1" width="8.81640625" style="1" customWidth="1"/>
    <col min="2" max="2" width="100.6328125" style="3" customWidth="1"/>
    <col min="3" max="3" width="20.6328125" style="2"/>
    <col min="4" max="27" width="20.6328125" style="1"/>
    <col min="28" max="16384" width="20.6328125" style="87"/>
  </cols>
  <sheetData>
    <row r="1" spans="1:27" x14ac:dyDescent="0.35">
      <c r="B1" s="37" t="s">
        <v>0</v>
      </c>
    </row>
    <row r="2" spans="1:27" x14ac:dyDescent="0.35">
      <c r="B2" s="3" t="s">
        <v>442</v>
      </c>
    </row>
    <row r="3" spans="1:27" s="88" customFormat="1" x14ac:dyDescent="0.35">
      <c r="A3" s="2"/>
      <c r="B3" s="3" t="s">
        <v>1</v>
      </c>
      <c r="C3" s="2"/>
      <c r="D3" s="2"/>
      <c r="E3" s="2"/>
      <c r="F3" s="2"/>
      <c r="G3" s="2"/>
      <c r="H3" s="2"/>
      <c r="I3" s="2"/>
      <c r="J3" s="2"/>
      <c r="K3" s="2"/>
      <c r="L3" s="2"/>
      <c r="M3" s="2"/>
      <c r="N3" s="2"/>
      <c r="O3" s="2"/>
      <c r="P3" s="2"/>
      <c r="Q3" s="2"/>
      <c r="R3" s="2"/>
      <c r="S3" s="2"/>
      <c r="T3" s="2"/>
      <c r="U3" s="2"/>
      <c r="V3" s="2"/>
      <c r="W3" s="2"/>
      <c r="X3" s="2"/>
      <c r="Y3" s="2"/>
      <c r="Z3" s="2"/>
      <c r="AA3" s="2"/>
    </row>
    <row r="4" spans="1:27" x14ac:dyDescent="0.35">
      <c r="B4" s="3" t="s">
        <v>2</v>
      </c>
    </row>
    <row r="6" spans="1:27" s="88" customFormat="1" ht="19" customHeight="1" x14ac:dyDescent="0.35">
      <c r="A6" s="2"/>
      <c r="B6" s="28" t="s">
        <v>20</v>
      </c>
      <c r="C6" s="2"/>
      <c r="D6" s="2"/>
      <c r="E6" s="2"/>
      <c r="F6" s="2"/>
      <c r="G6" s="2"/>
      <c r="H6" s="2"/>
      <c r="I6" s="2"/>
      <c r="J6" s="2"/>
      <c r="K6" s="2"/>
      <c r="L6" s="2"/>
      <c r="M6" s="2"/>
      <c r="N6" s="2"/>
      <c r="O6" s="2"/>
      <c r="P6" s="2"/>
      <c r="Q6" s="2"/>
      <c r="R6" s="2"/>
      <c r="S6" s="2"/>
      <c r="T6" s="2"/>
      <c r="U6" s="2"/>
      <c r="V6" s="2"/>
      <c r="W6" s="2"/>
      <c r="X6" s="2"/>
      <c r="Y6" s="2"/>
      <c r="Z6" s="2"/>
      <c r="AA6" s="2"/>
    </row>
    <row r="7" spans="1:27" ht="19.5" customHeight="1" x14ac:dyDescent="0.35">
      <c r="B7" s="215" t="s">
        <v>415</v>
      </c>
    </row>
    <row r="8" spans="1:27" ht="19" customHeight="1" thickBot="1" x14ac:dyDescent="0.4">
      <c r="A8" s="2"/>
    </row>
    <row r="9" spans="1:27" s="89" customFormat="1" ht="19.5" customHeight="1" x14ac:dyDescent="0.4">
      <c r="A9" s="2"/>
      <c r="B9" s="5"/>
      <c r="C9" s="38" t="s">
        <v>21</v>
      </c>
      <c r="D9" s="221" t="s">
        <v>22</v>
      </c>
      <c r="E9" s="222"/>
      <c r="F9" s="221" t="s">
        <v>23</v>
      </c>
      <c r="G9" s="222"/>
      <c r="H9" s="222"/>
      <c r="I9" s="222"/>
      <c r="J9" s="221" t="s">
        <v>24</v>
      </c>
      <c r="K9" s="222"/>
      <c r="L9" s="222"/>
      <c r="M9" s="221" t="s">
        <v>25</v>
      </c>
      <c r="N9" s="222"/>
      <c r="O9" s="222"/>
      <c r="P9" s="222"/>
      <c r="Q9" s="221" t="s">
        <v>26</v>
      </c>
      <c r="R9" s="222"/>
      <c r="S9" s="222"/>
      <c r="T9" s="221" t="s">
        <v>27</v>
      </c>
      <c r="U9" s="222"/>
      <c r="V9" s="222"/>
      <c r="W9" s="222"/>
      <c r="X9" s="221" t="s">
        <v>28</v>
      </c>
      <c r="Y9" s="222"/>
      <c r="Z9" s="221" t="s">
        <v>29</v>
      </c>
      <c r="AA9" s="223"/>
    </row>
    <row r="10" spans="1:27" s="89" customFormat="1" ht="57" customHeight="1" thickBot="1" x14ac:dyDescent="0.45">
      <c r="A10" s="2"/>
      <c r="B10" s="91"/>
      <c r="C10" s="7" t="e" vm="1">
        <v>#VALUE!</v>
      </c>
      <c r="D10" s="8" t="s">
        <v>30</v>
      </c>
      <c r="E10" s="9" t="s">
        <v>31</v>
      </c>
      <c r="F10" s="10" t="s">
        <v>32</v>
      </c>
      <c r="G10" s="11" t="s">
        <v>33</v>
      </c>
      <c r="H10" s="12" t="s">
        <v>34</v>
      </c>
      <c r="I10" s="9" t="s">
        <v>35</v>
      </c>
      <c r="J10" s="10" t="s">
        <v>36</v>
      </c>
      <c r="K10" s="12" t="s">
        <v>37</v>
      </c>
      <c r="L10" s="9" t="s">
        <v>38</v>
      </c>
      <c r="M10" s="10" t="s">
        <v>39</v>
      </c>
      <c r="N10" s="11" t="s">
        <v>40</v>
      </c>
      <c r="O10" s="12" t="s">
        <v>41</v>
      </c>
      <c r="P10" s="9" t="s">
        <v>42</v>
      </c>
      <c r="Q10" s="10" t="s">
        <v>43</v>
      </c>
      <c r="R10" s="12" t="s">
        <v>44</v>
      </c>
      <c r="S10" s="9" t="s">
        <v>45</v>
      </c>
      <c r="T10" s="34">
        <v>1</v>
      </c>
      <c r="U10" s="35">
        <v>2</v>
      </c>
      <c r="V10" s="36">
        <v>3</v>
      </c>
      <c r="W10" s="9" t="s">
        <v>46</v>
      </c>
      <c r="X10" s="13" t="s">
        <v>409</v>
      </c>
      <c r="Y10" s="9" t="s">
        <v>410</v>
      </c>
      <c r="Z10" s="10" t="s">
        <v>409</v>
      </c>
      <c r="AA10" s="31" t="s">
        <v>410</v>
      </c>
    </row>
    <row r="11" spans="1:27" s="92" customFormat="1" ht="18.75" customHeight="1" x14ac:dyDescent="0.35">
      <c r="A11" s="25"/>
      <c r="B11" s="14" t="s">
        <v>49</v>
      </c>
      <c r="C11" s="26">
        <v>27292</v>
      </c>
      <c r="D11" s="39">
        <v>13488</v>
      </c>
      <c r="E11" s="26">
        <v>13685</v>
      </c>
      <c r="F11" s="40">
        <v>3682</v>
      </c>
      <c r="G11" s="41">
        <v>7667</v>
      </c>
      <c r="H11" s="42">
        <v>7751</v>
      </c>
      <c r="I11" s="26">
        <v>8192</v>
      </c>
      <c r="J11" s="40">
        <v>2780</v>
      </c>
      <c r="K11" s="42">
        <v>9601</v>
      </c>
      <c r="L11" s="26">
        <v>12258</v>
      </c>
      <c r="M11" s="40">
        <v>2997</v>
      </c>
      <c r="N11" s="41">
        <v>14034</v>
      </c>
      <c r="O11" s="42">
        <v>2839</v>
      </c>
      <c r="P11" s="26">
        <v>6900</v>
      </c>
      <c r="Q11" s="40">
        <v>10494</v>
      </c>
      <c r="R11" s="42">
        <v>10245</v>
      </c>
      <c r="S11" s="26">
        <v>6421</v>
      </c>
      <c r="T11" s="40">
        <v>6218</v>
      </c>
      <c r="U11" s="41">
        <v>10287</v>
      </c>
      <c r="V11" s="42">
        <v>4457</v>
      </c>
      <c r="W11" s="26">
        <v>3439</v>
      </c>
      <c r="X11" s="39">
        <v>17539</v>
      </c>
      <c r="Y11" s="26">
        <v>8634</v>
      </c>
      <c r="Z11" s="40">
        <v>11191</v>
      </c>
      <c r="AA11" s="43">
        <v>14524</v>
      </c>
    </row>
    <row r="12" spans="1:27" s="92" customFormat="1" ht="18.75" customHeight="1" thickBot="1" x14ac:dyDescent="0.4">
      <c r="A12" s="26"/>
      <c r="B12" s="15" t="s">
        <v>50</v>
      </c>
      <c r="C12" s="44">
        <v>27292</v>
      </c>
      <c r="D12" s="45">
        <v>13117</v>
      </c>
      <c r="E12" s="46">
        <v>14056</v>
      </c>
      <c r="F12" s="45">
        <v>3535</v>
      </c>
      <c r="G12" s="47">
        <v>6272</v>
      </c>
      <c r="H12" s="47">
        <v>6843</v>
      </c>
      <c r="I12" s="46">
        <v>10643</v>
      </c>
      <c r="J12" s="45">
        <v>5987</v>
      </c>
      <c r="K12" s="47">
        <v>10797</v>
      </c>
      <c r="L12" s="46">
        <v>7855</v>
      </c>
      <c r="M12" s="45">
        <v>2765</v>
      </c>
      <c r="N12" s="47">
        <v>12846</v>
      </c>
      <c r="O12" s="47">
        <v>2724</v>
      </c>
      <c r="P12" s="46">
        <v>8517</v>
      </c>
      <c r="Q12" s="45">
        <v>10940</v>
      </c>
      <c r="R12" s="47">
        <v>9369</v>
      </c>
      <c r="S12" s="46">
        <v>6851</v>
      </c>
      <c r="T12" s="45">
        <v>7012</v>
      </c>
      <c r="U12" s="47">
        <v>10099</v>
      </c>
      <c r="V12" s="47">
        <v>3919</v>
      </c>
      <c r="W12" s="46">
        <v>2709</v>
      </c>
      <c r="X12" s="45">
        <v>18568</v>
      </c>
      <c r="Y12" s="46">
        <v>7508</v>
      </c>
      <c r="Z12" s="45">
        <v>11570</v>
      </c>
      <c r="AA12" s="48">
        <v>13901</v>
      </c>
    </row>
    <row r="13" spans="1:27" s="93" customFormat="1" ht="21" customHeight="1" x14ac:dyDescent="0.35">
      <c r="A13" s="65"/>
      <c r="B13" s="224" t="s">
        <v>51</v>
      </c>
      <c r="C13" s="63">
        <v>7399</v>
      </c>
      <c r="D13" s="64">
        <v>3459</v>
      </c>
      <c r="E13" s="65">
        <v>3918</v>
      </c>
      <c r="F13" s="66">
        <v>1142</v>
      </c>
      <c r="G13" s="67">
        <v>1862</v>
      </c>
      <c r="H13" s="68">
        <v>1730</v>
      </c>
      <c r="I13" s="65">
        <v>2665</v>
      </c>
      <c r="J13" s="66">
        <v>2133</v>
      </c>
      <c r="K13" s="68">
        <v>2699</v>
      </c>
      <c r="L13" s="65">
        <v>1896</v>
      </c>
      <c r="M13" s="66">
        <v>892</v>
      </c>
      <c r="N13" s="67">
        <v>3466</v>
      </c>
      <c r="O13" s="68">
        <v>781</v>
      </c>
      <c r="P13" s="65">
        <v>2179</v>
      </c>
      <c r="Q13" s="66">
        <v>3119</v>
      </c>
      <c r="R13" s="68">
        <v>2204</v>
      </c>
      <c r="S13" s="65">
        <v>2041</v>
      </c>
      <c r="T13" s="66">
        <v>2078</v>
      </c>
      <c r="U13" s="67">
        <v>2486</v>
      </c>
      <c r="V13" s="68">
        <v>1081</v>
      </c>
      <c r="W13" s="65">
        <v>618</v>
      </c>
      <c r="X13" s="64">
        <v>7399</v>
      </c>
      <c r="Y13" s="65">
        <v>0</v>
      </c>
      <c r="Z13" s="66">
        <v>5353</v>
      </c>
      <c r="AA13" s="69">
        <v>1760</v>
      </c>
    </row>
    <row r="14" spans="1:27" ht="24" customHeight="1" x14ac:dyDescent="0.35">
      <c r="B14" s="225"/>
      <c r="C14" s="49">
        <v>0.27</v>
      </c>
      <c r="D14" s="50">
        <v>0.26</v>
      </c>
      <c r="E14" s="51">
        <v>0.28000000000000003</v>
      </c>
      <c r="F14" s="50">
        <v>0.32</v>
      </c>
      <c r="G14" s="51">
        <v>0.3</v>
      </c>
      <c r="H14" s="51">
        <v>0.25</v>
      </c>
      <c r="I14" s="51">
        <v>0.25</v>
      </c>
      <c r="J14" s="50">
        <v>0.36</v>
      </c>
      <c r="K14" s="51">
        <v>0.25</v>
      </c>
      <c r="L14" s="51">
        <v>0.24</v>
      </c>
      <c r="M14" s="50">
        <v>0.32</v>
      </c>
      <c r="N14" s="51">
        <v>0.27</v>
      </c>
      <c r="O14" s="51">
        <v>0.28999999999999998</v>
      </c>
      <c r="P14" s="51">
        <v>0.26</v>
      </c>
      <c r="Q14" s="50">
        <v>0.28999999999999998</v>
      </c>
      <c r="R14" s="51">
        <v>0.24</v>
      </c>
      <c r="S14" s="51">
        <v>0.3</v>
      </c>
      <c r="T14" s="50">
        <v>0.3</v>
      </c>
      <c r="U14" s="51">
        <v>0.25</v>
      </c>
      <c r="V14" s="51">
        <v>0.28000000000000003</v>
      </c>
      <c r="W14" s="51">
        <v>0.23</v>
      </c>
      <c r="X14" s="50">
        <v>0.4</v>
      </c>
      <c r="Y14" s="51">
        <v>0</v>
      </c>
      <c r="Z14" s="50">
        <v>0.46</v>
      </c>
      <c r="AA14" s="52">
        <v>0.13</v>
      </c>
    </row>
    <row r="15" spans="1:27" s="93" customFormat="1" ht="21" customHeight="1" x14ac:dyDescent="0.35">
      <c r="A15" s="65"/>
      <c r="B15" s="228" t="s">
        <v>52</v>
      </c>
      <c r="C15" s="63">
        <v>11169</v>
      </c>
      <c r="D15" s="70">
        <v>5129</v>
      </c>
      <c r="E15" s="65">
        <v>5990</v>
      </c>
      <c r="F15" s="71">
        <v>1384</v>
      </c>
      <c r="G15" s="72">
        <v>2525</v>
      </c>
      <c r="H15" s="73">
        <v>2855</v>
      </c>
      <c r="I15" s="65">
        <v>4405</v>
      </c>
      <c r="J15" s="71">
        <v>2225</v>
      </c>
      <c r="K15" s="73">
        <v>4471</v>
      </c>
      <c r="L15" s="65">
        <v>3504</v>
      </c>
      <c r="M15" s="71">
        <v>1030</v>
      </c>
      <c r="N15" s="72">
        <v>5321</v>
      </c>
      <c r="O15" s="73">
        <v>1061</v>
      </c>
      <c r="P15" s="65">
        <v>3582</v>
      </c>
      <c r="Q15" s="71">
        <v>4241</v>
      </c>
      <c r="R15" s="73">
        <v>4037</v>
      </c>
      <c r="S15" s="65">
        <v>2861</v>
      </c>
      <c r="T15" s="71">
        <v>2786</v>
      </c>
      <c r="U15" s="72">
        <v>4481</v>
      </c>
      <c r="V15" s="73">
        <v>1502</v>
      </c>
      <c r="W15" s="65">
        <v>1148</v>
      </c>
      <c r="X15" s="70">
        <v>11169</v>
      </c>
      <c r="Y15" s="65">
        <v>0</v>
      </c>
      <c r="Z15" s="71">
        <v>5195</v>
      </c>
      <c r="AA15" s="74">
        <v>5238</v>
      </c>
    </row>
    <row r="16" spans="1:27" ht="24" customHeight="1" x14ac:dyDescent="0.35">
      <c r="B16" s="225"/>
      <c r="C16" s="49">
        <v>0.41000000000000003</v>
      </c>
      <c r="D16" s="50">
        <v>0.39</v>
      </c>
      <c r="E16" s="51">
        <v>0.41999999999999993</v>
      </c>
      <c r="F16" s="50">
        <v>0.38999999999999996</v>
      </c>
      <c r="G16" s="51">
        <v>0.39999999999999997</v>
      </c>
      <c r="H16" s="51">
        <v>0.42000000000000004</v>
      </c>
      <c r="I16" s="51">
        <v>0.41000000000000003</v>
      </c>
      <c r="J16" s="50">
        <v>0.37</v>
      </c>
      <c r="K16" s="51">
        <v>0.41000000000000003</v>
      </c>
      <c r="L16" s="51">
        <v>0.44999999999999996</v>
      </c>
      <c r="M16" s="50">
        <v>0.37999999999999995</v>
      </c>
      <c r="N16" s="51">
        <v>0.41000000000000003</v>
      </c>
      <c r="O16" s="51">
        <v>0.39000000000000007</v>
      </c>
      <c r="P16" s="51">
        <v>0.42000000000000004</v>
      </c>
      <c r="Q16" s="50">
        <v>0.38000000000000006</v>
      </c>
      <c r="R16" s="51">
        <v>0.43000000000000005</v>
      </c>
      <c r="S16" s="51">
        <v>0.42</v>
      </c>
      <c r="T16" s="50">
        <v>0.38999999999999996</v>
      </c>
      <c r="U16" s="51">
        <v>0.43999999999999995</v>
      </c>
      <c r="V16" s="51">
        <v>0.38</v>
      </c>
      <c r="W16" s="51">
        <v>0.42000000000000004</v>
      </c>
      <c r="X16" s="50">
        <v>0.6</v>
      </c>
      <c r="Y16" s="51">
        <v>0</v>
      </c>
      <c r="Z16" s="50">
        <v>0.45</v>
      </c>
      <c r="AA16" s="52">
        <v>0.37</v>
      </c>
    </row>
    <row r="17" spans="1:27" s="93" customFormat="1" ht="21" customHeight="1" x14ac:dyDescent="0.35">
      <c r="A17" s="65"/>
      <c r="B17" s="228" t="s">
        <v>53</v>
      </c>
      <c r="C17" s="63">
        <v>5301</v>
      </c>
      <c r="D17" s="70">
        <v>2752</v>
      </c>
      <c r="E17" s="65">
        <v>2528</v>
      </c>
      <c r="F17" s="71">
        <v>634</v>
      </c>
      <c r="G17" s="72">
        <v>1181</v>
      </c>
      <c r="H17" s="73">
        <v>1276</v>
      </c>
      <c r="I17" s="65">
        <v>2210</v>
      </c>
      <c r="J17" s="71">
        <v>1022</v>
      </c>
      <c r="K17" s="73">
        <v>2238</v>
      </c>
      <c r="L17" s="65">
        <v>1548</v>
      </c>
      <c r="M17" s="71">
        <v>549</v>
      </c>
      <c r="N17" s="72">
        <v>2512</v>
      </c>
      <c r="O17" s="73">
        <v>515</v>
      </c>
      <c r="P17" s="65">
        <v>1672</v>
      </c>
      <c r="Q17" s="71">
        <v>2190</v>
      </c>
      <c r="R17" s="73">
        <v>1966</v>
      </c>
      <c r="S17" s="65">
        <v>1128</v>
      </c>
      <c r="T17" s="71">
        <v>1318</v>
      </c>
      <c r="U17" s="72">
        <v>1928</v>
      </c>
      <c r="V17" s="73">
        <v>828</v>
      </c>
      <c r="W17" s="65">
        <v>607</v>
      </c>
      <c r="X17" s="70">
        <v>0</v>
      </c>
      <c r="Y17" s="65">
        <v>5301</v>
      </c>
      <c r="Z17" s="71">
        <v>713</v>
      </c>
      <c r="AA17" s="74">
        <v>4502</v>
      </c>
    </row>
    <row r="18" spans="1:27" ht="24" customHeight="1" x14ac:dyDescent="0.35">
      <c r="B18" s="225"/>
      <c r="C18" s="49">
        <v>0.18999999999999995</v>
      </c>
      <c r="D18" s="50">
        <v>0.20999999999999996</v>
      </c>
      <c r="E18" s="51">
        <v>0.18000000000000005</v>
      </c>
      <c r="F18" s="50">
        <v>0.18000000000000005</v>
      </c>
      <c r="G18" s="51">
        <v>0.19000000000000006</v>
      </c>
      <c r="H18" s="51">
        <v>0.18999999999999995</v>
      </c>
      <c r="I18" s="51">
        <v>0.20999999999999996</v>
      </c>
      <c r="J18" s="50">
        <v>0.17000000000000004</v>
      </c>
      <c r="K18" s="51">
        <v>0.20999999999999996</v>
      </c>
      <c r="L18" s="51">
        <v>0.19000000000000006</v>
      </c>
      <c r="M18" s="50">
        <v>0.19000000000000006</v>
      </c>
      <c r="N18" s="51">
        <v>0.19999999999999996</v>
      </c>
      <c r="O18" s="51">
        <v>0.17999999999999994</v>
      </c>
      <c r="P18" s="51">
        <v>0.18999999999999995</v>
      </c>
      <c r="Q18" s="50">
        <v>0.19999999999999996</v>
      </c>
      <c r="R18" s="51">
        <v>0.20999999999999996</v>
      </c>
      <c r="S18" s="51">
        <v>0.16000000000000003</v>
      </c>
      <c r="T18" s="50">
        <v>0.19000000000000006</v>
      </c>
      <c r="U18" s="51">
        <v>0.19000000000000006</v>
      </c>
      <c r="V18" s="51">
        <v>0.20999999999999996</v>
      </c>
      <c r="W18" s="51">
        <v>0.22999999999999998</v>
      </c>
      <c r="X18" s="50">
        <v>0</v>
      </c>
      <c r="Y18" s="51">
        <v>0.71</v>
      </c>
      <c r="Z18" s="50">
        <v>5.9999999999999942E-2</v>
      </c>
      <c r="AA18" s="52">
        <v>0.32999999999999996</v>
      </c>
    </row>
    <row r="19" spans="1:27" s="93" customFormat="1" ht="21" customHeight="1" x14ac:dyDescent="0.35">
      <c r="A19" s="65"/>
      <c r="B19" s="228" t="s">
        <v>54</v>
      </c>
      <c r="C19" s="63">
        <v>2207</v>
      </c>
      <c r="D19" s="70">
        <v>1362</v>
      </c>
      <c r="E19" s="65">
        <v>834</v>
      </c>
      <c r="F19" s="71">
        <v>221</v>
      </c>
      <c r="G19" s="72">
        <v>432</v>
      </c>
      <c r="H19" s="73">
        <v>658</v>
      </c>
      <c r="I19" s="65">
        <v>897</v>
      </c>
      <c r="J19" s="71">
        <v>382</v>
      </c>
      <c r="K19" s="73">
        <v>909</v>
      </c>
      <c r="L19" s="65">
        <v>647</v>
      </c>
      <c r="M19" s="71">
        <v>218</v>
      </c>
      <c r="N19" s="72">
        <v>1074</v>
      </c>
      <c r="O19" s="73">
        <v>239</v>
      </c>
      <c r="P19" s="65">
        <v>624</v>
      </c>
      <c r="Q19" s="71">
        <v>955</v>
      </c>
      <c r="R19" s="73">
        <v>727</v>
      </c>
      <c r="S19" s="65">
        <v>522</v>
      </c>
      <c r="T19" s="71">
        <v>526</v>
      </c>
      <c r="U19" s="72">
        <v>831</v>
      </c>
      <c r="V19" s="73">
        <v>351</v>
      </c>
      <c r="W19" s="65">
        <v>219</v>
      </c>
      <c r="X19" s="70">
        <v>0</v>
      </c>
      <c r="Y19" s="65">
        <v>2207</v>
      </c>
      <c r="Z19" s="71">
        <v>229</v>
      </c>
      <c r="AA19" s="74">
        <v>1942</v>
      </c>
    </row>
    <row r="20" spans="1:27" ht="24" customHeight="1" x14ac:dyDescent="0.35">
      <c r="B20" s="225"/>
      <c r="C20" s="49">
        <v>8.9999999999999969E-2</v>
      </c>
      <c r="D20" s="50">
        <v>0.10999999999999999</v>
      </c>
      <c r="E20" s="51">
        <v>5.9999999999999942E-2</v>
      </c>
      <c r="F20" s="50">
        <v>6.9999999999999951E-2</v>
      </c>
      <c r="G20" s="51">
        <v>6.9999999999999951E-2</v>
      </c>
      <c r="H20" s="51">
        <v>8.9999999999999969E-2</v>
      </c>
      <c r="I20" s="51">
        <v>8.9999999999999969E-2</v>
      </c>
      <c r="J20" s="50">
        <v>5.9999999999999942E-2</v>
      </c>
      <c r="K20" s="51">
        <v>8.9999999999999969E-2</v>
      </c>
      <c r="L20" s="51">
        <v>8.9999999999999969E-2</v>
      </c>
      <c r="M20" s="50">
        <v>7.999999999999996E-2</v>
      </c>
      <c r="N20" s="51">
        <v>7.999999999999996E-2</v>
      </c>
      <c r="O20" s="51">
        <v>8.9999999999999969E-2</v>
      </c>
      <c r="P20" s="51">
        <v>7.999999999999996E-2</v>
      </c>
      <c r="Q20" s="50">
        <v>8.9999999999999969E-2</v>
      </c>
      <c r="R20" s="51">
        <v>6.9999999999999951E-2</v>
      </c>
      <c r="S20" s="51">
        <v>7.999999999999996E-2</v>
      </c>
      <c r="T20" s="50">
        <v>7.999999999999996E-2</v>
      </c>
      <c r="U20" s="51">
        <v>7.999999999999996E-2</v>
      </c>
      <c r="V20" s="51">
        <v>8.9999999999999969E-2</v>
      </c>
      <c r="W20" s="51">
        <v>7.999999999999996E-2</v>
      </c>
      <c r="X20" s="50">
        <v>0</v>
      </c>
      <c r="Y20" s="51">
        <v>0.29000000000000004</v>
      </c>
      <c r="Z20" s="50">
        <v>2.0000000000000018E-2</v>
      </c>
      <c r="AA20" s="52">
        <v>0.14000000000000001</v>
      </c>
    </row>
    <row r="21" spans="1:27" s="93" customFormat="1" ht="21" customHeight="1" x14ac:dyDescent="0.35">
      <c r="A21" s="65"/>
      <c r="B21" s="228" t="s">
        <v>55</v>
      </c>
      <c r="C21" s="63">
        <v>1216</v>
      </c>
      <c r="D21" s="70">
        <v>414</v>
      </c>
      <c r="E21" s="65">
        <v>787</v>
      </c>
      <c r="F21" s="71">
        <v>154</v>
      </c>
      <c r="G21" s="72">
        <v>272</v>
      </c>
      <c r="H21" s="73">
        <v>324</v>
      </c>
      <c r="I21" s="65">
        <v>466</v>
      </c>
      <c r="J21" s="71">
        <v>226</v>
      </c>
      <c r="K21" s="73">
        <v>482</v>
      </c>
      <c r="L21" s="65">
        <v>260</v>
      </c>
      <c r="M21" s="71">
        <v>75</v>
      </c>
      <c r="N21" s="72">
        <v>473</v>
      </c>
      <c r="O21" s="73">
        <v>129</v>
      </c>
      <c r="P21" s="65">
        <v>461</v>
      </c>
      <c r="Q21" s="71">
        <v>435</v>
      </c>
      <c r="R21" s="73">
        <v>434</v>
      </c>
      <c r="S21" s="65">
        <v>300</v>
      </c>
      <c r="T21" s="71">
        <v>304</v>
      </c>
      <c r="U21" s="72">
        <v>373</v>
      </c>
      <c r="V21" s="73">
        <v>157</v>
      </c>
      <c r="W21" s="65">
        <v>117</v>
      </c>
      <c r="X21" s="70">
        <v>0</v>
      </c>
      <c r="Y21" s="65">
        <v>0</v>
      </c>
      <c r="Z21" s="71">
        <v>80</v>
      </c>
      <c r="AA21" s="74">
        <v>459</v>
      </c>
    </row>
    <row r="22" spans="1:27" ht="24" customHeight="1" thickBot="1" x14ac:dyDescent="0.4">
      <c r="B22" s="229"/>
      <c r="C22" s="53">
        <v>4.0000000000000036E-2</v>
      </c>
      <c r="D22" s="54">
        <v>3.0000000000000027E-2</v>
      </c>
      <c r="E22" s="55">
        <v>6.0000000000000053E-2</v>
      </c>
      <c r="F22" s="56">
        <v>4.0000000000000036E-2</v>
      </c>
      <c r="G22" s="57">
        <v>4.0000000000000036E-2</v>
      </c>
      <c r="H22" s="58">
        <v>5.0000000000000044E-2</v>
      </c>
      <c r="I22" s="55">
        <v>4.0000000000000036E-2</v>
      </c>
      <c r="J22" s="56">
        <v>4.0000000000000036E-2</v>
      </c>
      <c r="K22" s="58">
        <v>4.0000000000000036E-2</v>
      </c>
      <c r="L22" s="55">
        <v>3.0000000000000027E-2</v>
      </c>
      <c r="M22" s="56">
        <v>3.0000000000000027E-2</v>
      </c>
      <c r="N22" s="57">
        <v>4.0000000000000036E-2</v>
      </c>
      <c r="O22" s="58">
        <v>5.0000000000000044E-2</v>
      </c>
      <c r="P22" s="55">
        <v>5.0000000000000044E-2</v>
      </c>
      <c r="Q22" s="56">
        <v>4.0000000000000036E-2</v>
      </c>
      <c r="R22" s="58">
        <v>5.0000000000000044E-2</v>
      </c>
      <c r="S22" s="55">
        <v>4.0000000000000036E-2</v>
      </c>
      <c r="T22" s="56">
        <v>4.0000000000000036E-2</v>
      </c>
      <c r="U22" s="57">
        <v>4.0000000000000036E-2</v>
      </c>
      <c r="V22" s="58">
        <v>4.0000000000000036E-2</v>
      </c>
      <c r="W22" s="55">
        <v>4.0000000000000036E-2</v>
      </c>
      <c r="X22" s="54">
        <v>0</v>
      </c>
      <c r="Y22" s="55">
        <v>0</v>
      </c>
      <c r="Z22" s="56">
        <v>1.0000000000000009E-2</v>
      </c>
      <c r="AA22" s="52">
        <v>3.0000000000000027E-2</v>
      </c>
    </row>
    <row r="23" spans="1:27" s="93" customFormat="1" ht="21" customHeight="1" x14ac:dyDescent="0.35">
      <c r="A23" s="65"/>
      <c r="B23" s="230" t="s">
        <v>409</v>
      </c>
      <c r="C23" s="75">
        <v>18568</v>
      </c>
      <c r="D23" s="76">
        <v>8588</v>
      </c>
      <c r="E23" s="77">
        <v>9908</v>
      </c>
      <c r="F23" s="78">
        <v>2526</v>
      </c>
      <c r="G23" s="79">
        <v>4387</v>
      </c>
      <c r="H23" s="80">
        <v>4585</v>
      </c>
      <c r="I23" s="77">
        <v>7070</v>
      </c>
      <c r="J23" s="78">
        <v>4358</v>
      </c>
      <c r="K23" s="80">
        <v>7170</v>
      </c>
      <c r="L23" s="77">
        <v>5400</v>
      </c>
      <c r="M23" s="78">
        <v>1922</v>
      </c>
      <c r="N23" s="79">
        <v>8787</v>
      </c>
      <c r="O23" s="80">
        <v>1842</v>
      </c>
      <c r="P23" s="77">
        <v>5761</v>
      </c>
      <c r="Q23" s="78">
        <v>7360</v>
      </c>
      <c r="R23" s="80">
        <v>6241</v>
      </c>
      <c r="S23" s="77">
        <v>4902</v>
      </c>
      <c r="T23" s="78">
        <v>4864</v>
      </c>
      <c r="U23" s="79">
        <v>6967</v>
      </c>
      <c r="V23" s="80">
        <v>2583</v>
      </c>
      <c r="W23" s="77">
        <v>1766</v>
      </c>
      <c r="X23" s="76">
        <v>18568</v>
      </c>
      <c r="Y23" s="77">
        <v>0</v>
      </c>
      <c r="Z23" s="78">
        <v>10548</v>
      </c>
      <c r="AA23" s="81">
        <v>6998</v>
      </c>
    </row>
    <row r="24" spans="1:27" ht="24" customHeight="1" x14ac:dyDescent="0.35">
      <c r="B24" s="231"/>
      <c r="C24" s="49">
        <v>0.68</v>
      </c>
      <c r="D24" s="50">
        <v>0.65</v>
      </c>
      <c r="E24" s="51">
        <v>0.7</v>
      </c>
      <c r="F24" s="50">
        <v>0.71</v>
      </c>
      <c r="G24" s="51">
        <v>0.7</v>
      </c>
      <c r="H24" s="51">
        <v>0.67</v>
      </c>
      <c r="I24" s="51">
        <v>0.66</v>
      </c>
      <c r="J24" s="50">
        <v>0.73</v>
      </c>
      <c r="K24" s="51">
        <v>0.66</v>
      </c>
      <c r="L24" s="51">
        <v>0.69</v>
      </c>
      <c r="M24" s="50">
        <v>0.7</v>
      </c>
      <c r="N24" s="51">
        <v>0.68</v>
      </c>
      <c r="O24" s="51">
        <v>0.68</v>
      </c>
      <c r="P24" s="51">
        <v>0.68</v>
      </c>
      <c r="Q24" s="50">
        <v>0.67</v>
      </c>
      <c r="R24" s="51">
        <v>0.67</v>
      </c>
      <c r="S24" s="51">
        <v>0.72</v>
      </c>
      <c r="T24" s="50">
        <v>0.69</v>
      </c>
      <c r="U24" s="51">
        <v>0.69</v>
      </c>
      <c r="V24" s="51">
        <v>0.66</v>
      </c>
      <c r="W24" s="51">
        <v>0.65</v>
      </c>
      <c r="X24" s="50">
        <v>1</v>
      </c>
      <c r="Y24" s="51">
        <v>0</v>
      </c>
      <c r="Z24" s="50">
        <v>0.91</v>
      </c>
      <c r="AA24" s="52">
        <v>0.5</v>
      </c>
    </row>
    <row r="25" spans="1:27" s="93" customFormat="1" ht="21" customHeight="1" x14ac:dyDescent="0.35">
      <c r="A25" s="65"/>
      <c r="B25" s="226" t="s">
        <v>410</v>
      </c>
      <c r="C25" s="63">
        <v>7508</v>
      </c>
      <c r="D25" s="70">
        <v>4114</v>
      </c>
      <c r="E25" s="65">
        <v>3362</v>
      </c>
      <c r="F25" s="71">
        <v>855</v>
      </c>
      <c r="G25" s="72">
        <v>1613</v>
      </c>
      <c r="H25" s="73">
        <v>1934</v>
      </c>
      <c r="I25" s="65">
        <v>3107</v>
      </c>
      <c r="J25" s="71">
        <v>1404</v>
      </c>
      <c r="K25" s="73">
        <v>3147</v>
      </c>
      <c r="L25" s="65">
        <v>2195</v>
      </c>
      <c r="M25" s="71">
        <v>767</v>
      </c>
      <c r="N25" s="72">
        <v>3586</v>
      </c>
      <c r="O25" s="73">
        <v>754</v>
      </c>
      <c r="P25" s="65">
        <v>2296</v>
      </c>
      <c r="Q25" s="71">
        <v>3145</v>
      </c>
      <c r="R25" s="73">
        <v>2693</v>
      </c>
      <c r="S25" s="65">
        <v>1650</v>
      </c>
      <c r="T25" s="71">
        <v>1844</v>
      </c>
      <c r="U25" s="72">
        <v>2759</v>
      </c>
      <c r="V25" s="73">
        <v>1179</v>
      </c>
      <c r="W25" s="65">
        <v>826</v>
      </c>
      <c r="X25" s="70">
        <v>0</v>
      </c>
      <c r="Y25" s="65">
        <v>7508</v>
      </c>
      <c r="Z25" s="71">
        <v>942</v>
      </c>
      <c r="AA25" s="74">
        <v>6444</v>
      </c>
    </row>
    <row r="26" spans="1:27" ht="24" customHeight="1" thickBot="1" x14ac:dyDescent="0.4">
      <c r="B26" s="227"/>
      <c r="C26" s="59">
        <v>0.27999999999999992</v>
      </c>
      <c r="D26" s="60">
        <v>0.31999999999999995</v>
      </c>
      <c r="E26" s="61">
        <v>0.24</v>
      </c>
      <c r="F26" s="60">
        <v>0.25</v>
      </c>
      <c r="G26" s="61">
        <v>0.26</v>
      </c>
      <c r="H26" s="61">
        <v>0.27999999999999992</v>
      </c>
      <c r="I26" s="61">
        <v>0.29999999999999993</v>
      </c>
      <c r="J26" s="60">
        <v>0.22999999999999998</v>
      </c>
      <c r="K26" s="61">
        <v>0.29999999999999993</v>
      </c>
      <c r="L26" s="61">
        <v>0.28000000000000003</v>
      </c>
      <c r="M26" s="60">
        <v>0.27</v>
      </c>
      <c r="N26" s="61">
        <v>0.27999999999999992</v>
      </c>
      <c r="O26" s="61">
        <v>0.26999999999999991</v>
      </c>
      <c r="P26" s="61">
        <v>0.26999999999999991</v>
      </c>
      <c r="Q26" s="60">
        <v>0.28999999999999992</v>
      </c>
      <c r="R26" s="61">
        <v>0.27999999999999992</v>
      </c>
      <c r="S26" s="61">
        <v>0.24</v>
      </c>
      <c r="T26" s="60">
        <v>0.27</v>
      </c>
      <c r="U26" s="61">
        <v>0.27</v>
      </c>
      <c r="V26" s="61">
        <v>0.29999999999999993</v>
      </c>
      <c r="W26" s="61">
        <v>0.30999999999999994</v>
      </c>
      <c r="X26" s="60">
        <v>0</v>
      </c>
      <c r="Y26" s="61">
        <v>1</v>
      </c>
      <c r="Z26" s="60">
        <v>7.999999999999996E-2</v>
      </c>
      <c r="AA26" s="62">
        <v>0.47</v>
      </c>
    </row>
    <row r="27" spans="1:27" x14ac:dyDescent="0.35"/>
    <row r="28" spans="1:27" ht="24" customHeight="1" x14ac:dyDescent="0.35"/>
    <row r="29" spans="1:27" x14ac:dyDescent="0.35">
      <c r="B29" s="1"/>
    </row>
    <row r="30" spans="1:27" ht="24" customHeight="1" x14ac:dyDescent="0.35"/>
  </sheetData>
  <mergeCells count="15">
    <mergeCell ref="B25:B26"/>
    <mergeCell ref="B15:B16"/>
    <mergeCell ref="B17:B18"/>
    <mergeCell ref="B19:B20"/>
    <mergeCell ref="B21:B22"/>
    <mergeCell ref="B23:B24"/>
    <mergeCell ref="T9:W9"/>
    <mergeCell ref="X9:Y9"/>
    <mergeCell ref="Z9:AA9"/>
    <mergeCell ref="B13:B14"/>
    <mergeCell ref="D9:E9"/>
    <mergeCell ref="F9:I9"/>
    <mergeCell ref="J9:L9"/>
    <mergeCell ref="M9:P9"/>
    <mergeCell ref="Q9:S9"/>
  </mergeCells>
  <hyperlinks>
    <hyperlink ref="B1" location="'Table of Contents'!A1" display="Home" xr:uid="{5FC63863-26D4-B84A-AF52-32C88694FB3F}"/>
  </hyperlinks>
  <pageMargins left="0.7" right="0.7" top="0.75" bottom="0.75" header="0.511811023622047" footer="0.511811023622047"/>
  <pageSetup paperSize="9" orientation="portrait" useFirstPageNumber="1"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dimension ref="A1:AA29"/>
  <sheetViews>
    <sheetView showGridLines="0" zoomScale="60" zoomScaleNormal="60" workbookViewId="0"/>
  </sheetViews>
  <sheetFormatPr defaultColWidth="20.6328125" defaultRowHeight="19" customHeight="1" x14ac:dyDescent="0.35"/>
  <cols>
    <col min="1" max="1" width="8.81640625" style="1" customWidth="1"/>
    <col min="2" max="2" width="100.6328125" style="3" customWidth="1"/>
    <col min="3" max="3" width="20.6328125" style="2"/>
    <col min="4" max="27" width="20.6328125" style="1"/>
    <col min="28" max="16384" width="20.6328125" style="87"/>
  </cols>
  <sheetData>
    <row r="1" spans="1:27" x14ac:dyDescent="0.35">
      <c r="B1" s="37" t="s">
        <v>0</v>
      </c>
    </row>
    <row r="2" spans="1:27" x14ac:dyDescent="0.35">
      <c r="B2" s="3" t="s">
        <v>442</v>
      </c>
    </row>
    <row r="3" spans="1:27" s="88" customFormat="1" x14ac:dyDescent="0.35">
      <c r="A3" s="2"/>
      <c r="B3" s="3" t="s">
        <v>1</v>
      </c>
      <c r="C3" s="2"/>
      <c r="D3" s="2"/>
      <c r="E3" s="2"/>
      <c r="F3" s="2"/>
      <c r="G3" s="2"/>
      <c r="H3" s="2"/>
      <c r="I3" s="2"/>
      <c r="J3" s="2"/>
      <c r="K3" s="2"/>
      <c r="L3" s="2"/>
      <c r="M3" s="2"/>
      <c r="N3" s="2"/>
      <c r="O3" s="2"/>
      <c r="P3" s="2"/>
      <c r="Q3" s="2"/>
      <c r="R3" s="2"/>
      <c r="S3" s="2"/>
      <c r="T3" s="2"/>
      <c r="U3" s="2"/>
      <c r="V3" s="2"/>
      <c r="W3" s="2"/>
      <c r="X3" s="2"/>
      <c r="Y3" s="2"/>
      <c r="Z3" s="2"/>
      <c r="AA3" s="2"/>
    </row>
    <row r="4" spans="1:27" x14ac:dyDescent="0.35">
      <c r="B4" s="3" t="s">
        <v>2</v>
      </c>
    </row>
    <row r="6" spans="1:27" s="88" customFormat="1" ht="19" customHeight="1" x14ac:dyDescent="0.35">
      <c r="A6" s="2"/>
      <c r="B6" s="28" t="s">
        <v>56</v>
      </c>
      <c r="C6" s="2"/>
      <c r="D6" s="2"/>
      <c r="E6" s="2"/>
      <c r="F6" s="2"/>
      <c r="G6" s="2"/>
      <c r="H6" s="2"/>
      <c r="I6" s="2"/>
      <c r="J6" s="2"/>
      <c r="K6" s="2"/>
      <c r="L6" s="2"/>
      <c r="M6" s="2"/>
      <c r="N6" s="2"/>
      <c r="O6" s="2"/>
      <c r="P6" s="2"/>
      <c r="Q6" s="2"/>
      <c r="R6" s="2"/>
      <c r="S6" s="2"/>
      <c r="T6" s="2"/>
      <c r="U6" s="2"/>
      <c r="V6" s="2"/>
      <c r="W6" s="2"/>
      <c r="X6" s="2"/>
      <c r="Y6" s="2"/>
      <c r="Z6" s="2"/>
      <c r="AA6" s="2"/>
    </row>
    <row r="7" spans="1:27" ht="19.5" customHeight="1" x14ac:dyDescent="0.35">
      <c r="B7" s="215" t="s">
        <v>415</v>
      </c>
    </row>
    <row r="8" spans="1:27" ht="19" customHeight="1" thickBot="1" x14ac:dyDescent="0.4">
      <c r="A8" s="2"/>
    </row>
    <row r="9" spans="1:27" s="89" customFormat="1" ht="19.5" customHeight="1" x14ac:dyDescent="0.4">
      <c r="A9" s="2"/>
      <c r="B9" s="5"/>
      <c r="C9" s="6" t="s">
        <v>21</v>
      </c>
      <c r="D9" s="221" t="s">
        <v>22</v>
      </c>
      <c r="E9" s="222"/>
      <c r="F9" s="221" t="s">
        <v>23</v>
      </c>
      <c r="G9" s="222"/>
      <c r="H9" s="222"/>
      <c r="I9" s="222"/>
      <c r="J9" s="221" t="s">
        <v>24</v>
      </c>
      <c r="K9" s="222"/>
      <c r="L9" s="222"/>
      <c r="M9" s="221" t="s">
        <v>25</v>
      </c>
      <c r="N9" s="222"/>
      <c r="O9" s="222"/>
      <c r="P9" s="222"/>
      <c r="Q9" s="221" t="s">
        <v>26</v>
      </c>
      <c r="R9" s="222"/>
      <c r="S9" s="222"/>
      <c r="T9" s="221" t="s">
        <v>27</v>
      </c>
      <c r="U9" s="222"/>
      <c r="V9" s="222"/>
      <c r="W9" s="222"/>
      <c r="X9" s="221" t="s">
        <v>28</v>
      </c>
      <c r="Y9" s="222"/>
      <c r="Z9" s="221" t="s">
        <v>29</v>
      </c>
      <c r="AA9" s="223"/>
    </row>
    <row r="10" spans="1:27" s="89" customFormat="1" ht="57" customHeight="1" thickBot="1" x14ac:dyDescent="0.45">
      <c r="A10" s="2"/>
      <c r="B10" s="91"/>
      <c r="C10" s="7" t="e" vm="1">
        <v>#VALUE!</v>
      </c>
      <c r="D10" s="8" t="s">
        <v>30</v>
      </c>
      <c r="E10" s="9" t="s">
        <v>31</v>
      </c>
      <c r="F10" s="10" t="s">
        <v>32</v>
      </c>
      <c r="G10" s="11" t="s">
        <v>33</v>
      </c>
      <c r="H10" s="12" t="s">
        <v>34</v>
      </c>
      <c r="I10" s="9" t="s">
        <v>35</v>
      </c>
      <c r="J10" s="10" t="s">
        <v>36</v>
      </c>
      <c r="K10" s="12" t="s">
        <v>37</v>
      </c>
      <c r="L10" s="9" t="s">
        <v>38</v>
      </c>
      <c r="M10" s="10" t="s">
        <v>39</v>
      </c>
      <c r="N10" s="11" t="s">
        <v>40</v>
      </c>
      <c r="O10" s="12" t="s">
        <v>41</v>
      </c>
      <c r="P10" s="9" t="s">
        <v>42</v>
      </c>
      <c r="Q10" s="10" t="s">
        <v>43</v>
      </c>
      <c r="R10" s="12" t="s">
        <v>44</v>
      </c>
      <c r="S10" s="9" t="s">
        <v>45</v>
      </c>
      <c r="T10" s="34">
        <v>1</v>
      </c>
      <c r="U10" s="35">
        <v>2</v>
      </c>
      <c r="V10" s="36">
        <v>3</v>
      </c>
      <c r="W10" s="9" t="s">
        <v>46</v>
      </c>
      <c r="X10" s="13" t="s">
        <v>409</v>
      </c>
      <c r="Y10" s="9" t="s">
        <v>410</v>
      </c>
      <c r="Z10" s="10" t="s">
        <v>409</v>
      </c>
      <c r="AA10" s="31" t="s">
        <v>410</v>
      </c>
    </row>
    <row r="11" spans="1:27" s="92" customFormat="1" ht="18.75" customHeight="1" x14ac:dyDescent="0.35">
      <c r="A11" s="25"/>
      <c r="B11" s="14" t="s">
        <v>49</v>
      </c>
      <c r="C11" s="26">
        <v>27292</v>
      </c>
      <c r="D11" s="39">
        <v>13488</v>
      </c>
      <c r="E11" s="26">
        <v>13685</v>
      </c>
      <c r="F11" s="40">
        <v>3682</v>
      </c>
      <c r="G11" s="41">
        <v>7667</v>
      </c>
      <c r="H11" s="42">
        <v>7751</v>
      </c>
      <c r="I11" s="26">
        <v>8192</v>
      </c>
      <c r="J11" s="40">
        <v>2780</v>
      </c>
      <c r="K11" s="42">
        <v>9601</v>
      </c>
      <c r="L11" s="26">
        <v>12258</v>
      </c>
      <c r="M11" s="40">
        <v>2997</v>
      </c>
      <c r="N11" s="41">
        <v>14034</v>
      </c>
      <c r="O11" s="42">
        <v>2839</v>
      </c>
      <c r="P11" s="26">
        <v>6900</v>
      </c>
      <c r="Q11" s="40">
        <v>10494</v>
      </c>
      <c r="R11" s="42">
        <v>10245</v>
      </c>
      <c r="S11" s="26">
        <v>6421</v>
      </c>
      <c r="T11" s="40">
        <v>6218</v>
      </c>
      <c r="U11" s="41">
        <v>10287</v>
      </c>
      <c r="V11" s="42">
        <v>4457</v>
      </c>
      <c r="W11" s="26">
        <v>3439</v>
      </c>
      <c r="X11" s="39">
        <v>17539</v>
      </c>
      <c r="Y11" s="26">
        <v>8634</v>
      </c>
      <c r="Z11" s="40">
        <v>11191</v>
      </c>
      <c r="AA11" s="43">
        <v>14524</v>
      </c>
    </row>
    <row r="12" spans="1:27" s="92" customFormat="1" ht="18.75" customHeight="1" thickBot="1" x14ac:dyDescent="0.4">
      <c r="A12" s="26"/>
      <c r="B12" s="15" t="s">
        <v>50</v>
      </c>
      <c r="C12" s="44">
        <v>27292</v>
      </c>
      <c r="D12" s="45">
        <v>13117</v>
      </c>
      <c r="E12" s="46">
        <v>14056</v>
      </c>
      <c r="F12" s="45">
        <v>3535</v>
      </c>
      <c r="G12" s="47">
        <v>6272</v>
      </c>
      <c r="H12" s="47">
        <v>6843</v>
      </c>
      <c r="I12" s="46">
        <v>10643</v>
      </c>
      <c r="J12" s="45">
        <v>5987</v>
      </c>
      <c r="K12" s="47">
        <v>10797</v>
      </c>
      <c r="L12" s="46">
        <v>7855</v>
      </c>
      <c r="M12" s="45">
        <v>2765</v>
      </c>
      <c r="N12" s="47">
        <v>12846</v>
      </c>
      <c r="O12" s="47">
        <v>2724</v>
      </c>
      <c r="P12" s="46">
        <v>8517</v>
      </c>
      <c r="Q12" s="45">
        <v>10940</v>
      </c>
      <c r="R12" s="47">
        <v>9369</v>
      </c>
      <c r="S12" s="46">
        <v>6851</v>
      </c>
      <c r="T12" s="45">
        <v>7012</v>
      </c>
      <c r="U12" s="47">
        <v>10099</v>
      </c>
      <c r="V12" s="47">
        <v>3919</v>
      </c>
      <c r="W12" s="46">
        <v>2709</v>
      </c>
      <c r="X12" s="45">
        <v>18568</v>
      </c>
      <c r="Y12" s="46">
        <v>7508</v>
      </c>
      <c r="Z12" s="45">
        <v>11570</v>
      </c>
      <c r="AA12" s="48">
        <v>13901</v>
      </c>
    </row>
    <row r="13" spans="1:27" s="93" customFormat="1" ht="21" customHeight="1" x14ac:dyDescent="0.35">
      <c r="A13" s="65"/>
      <c r="B13" s="224" t="s">
        <v>51</v>
      </c>
      <c r="C13" s="63">
        <v>3299</v>
      </c>
      <c r="D13" s="64">
        <v>1488</v>
      </c>
      <c r="E13" s="65">
        <v>1790</v>
      </c>
      <c r="F13" s="66">
        <v>526</v>
      </c>
      <c r="G13" s="67">
        <v>988</v>
      </c>
      <c r="H13" s="68">
        <v>837</v>
      </c>
      <c r="I13" s="65">
        <v>948</v>
      </c>
      <c r="J13" s="66">
        <v>1030</v>
      </c>
      <c r="K13" s="68">
        <v>1154</v>
      </c>
      <c r="L13" s="65">
        <v>771</v>
      </c>
      <c r="M13" s="66">
        <v>488</v>
      </c>
      <c r="N13" s="67">
        <v>1583</v>
      </c>
      <c r="O13" s="68">
        <v>429</v>
      </c>
      <c r="P13" s="65">
        <v>758</v>
      </c>
      <c r="Q13" s="66">
        <v>1397</v>
      </c>
      <c r="R13" s="68">
        <v>998</v>
      </c>
      <c r="S13" s="65">
        <v>885</v>
      </c>
      <c r="T13" s="66">
        <v>887</v>
      </c>
      <c r="U13" s="67">
        <v>1029</v>
      </c>
      <c r="V13" s="68">
        <v>465</v>
      </c>
      <c r="W13" s="65">
        <v>283</v>
      </c>
      <c r="X13" s="64">
        <v>3104</v>
      </c>
      <c r="Y13" s="65">
        <v>171</v>
      </c>
      <c r="Z13" s="66">
        <v>3299</v>
      </c>
      <c r="AA13" s="69">
        <v>0</v>
      </c>
    </row>
    <row r="14" spans="1:27" ht="24" customHeight="1" x14ac:dyDescent="0.35">
      <c r="B14" s="225"/>
      <c r="C14" s="49">
        <v>0.12</v>
      </c>
      <c r="D14" s="50">
        <v>0.11</v>
      </c>
      <c r="E14" s="51">
        <v>0.13</v>
      </c>
      <c r="F14" s="50">
        <v>0.15</v>
      </c>
      <c r="G14" s="51">
        <v>0.16</v>
      </c>
      <c r="H14" s="51">
        <v>0.12</v>
      </c>
      <c r="I14" s="51">
        <v>0.09</v>
      </c>
      <c r="J14" s="50">
        <v>0.17</v>
      </c>
      <c r="K14" s="51">
        <v>0.11</v>
      </c>
      <c r="L14" s="51">
        <v>0.1</v>
      </c>
      <c r="M14" s="50">
        <v>0.18</v>
      </c>
      <c r="N14" s="51">
        <v>0.12</v>
      </c>
      <c r="O14" s="51">
        <v>0.16</v>
      </c>
      <c r="P14" s="51">
        <v>0.09</v>
      </c>
      <c r="Q14" s="50">
        <v>0.13</v>
      </c>
      <c r="R14" s="51">
        <v>0.11</v>
      </c>
      <c r="S14" s="51">
        <v>0.13</v>
      </c>
      <c r="T14" s="50">
        <v>0.13</v>
      </c>
      <c r="U14" s="51">
        <v>0.1</v>
      </c>
      <c r="V14" s="51">
        <v>0.12</v>
      </c>
      <c r="W14" s="51">
        <v>0.1</v>
      </c>
      <c r="X14" s="50">
        <v>0.17</v>
      </c>
      <c r="Y14" s="51">
        <v>0.02</v>
      </c>
      <c r="Z14" s="50">
        <v>0.28999999999999998</v>
      </c>
      <c r="AA14" s="52">
        <v>0</v>
      </c>
    </row>
    <row r="15" spans="1:27" s="93" customFormat="1" ht="21" customHeight="1" x14ac:dyDescent="0.35">
      <c r="A15" s="65"/>
      <c r="B15" s="228" t="s">
        <v>52</v>
      </c>
      <c r="C15" s="63">
        <v>8271</v>
      </c>
      <c r="D15" s="70">
        <v>3828</v>
      </c>
      <c r="E15" s="65">
        <v>4412</v>
      </c>
      <c r="F15" s="71">
        <v>1044</v>
      </c>
      <c r="G15" s="72">
        <v>1899</v>
      </c>
      <c r="H15" s="73">
        <v>2133</v>
      </c>
      <c r="I15" s="65">
        <v>3194</v>
      </c>
      <c r="J15" s="71">
        <v>1811</v>
      </c>
      <c r="K15" s="73">
        <v>3199</v>
      </c>
      <c r="L15" s="65">
        <v>2529</v>
      </c>
      <c r="M15" s="71">
        <v>822</v>
      </c>
      <c r="N15" s="72">
        <v>3982</v>
      </c>
      <c r="O15" s="73">
        <v>852</v>
      </c>
      <c r="P15" s="65">
        <v>2514</v>
      </c>
      <c r="Q15" s="71">
        <v>3401</v>
      </c>
      <c r="R15" s="73">
        <v>2727</v>
      </c>
      <c r="S15" s="65">
        <v>2118</v>
      </c>
      <c r="T15" s="71">
        <v>2085</v>
      </c>
      <c r="U15" s="72">
        <v>3080</v>
      </c>
      <c r="V15" s="73">
        <v>1227</v>
      </c>
      <c r="W15" s="65">
        <v>863</v>
      </c>
      <c r="X15" s="70">
        <v>7444</v>
      </c>
      <c r="Y15" s="65">
        <v>771</v>
      </c>
      <c r="Z15" s="71">
        <v>8271</v>
      </c>
      <c r="AA15" s="74">
        <v>0</v>
      </c>
    </row>
    <row r="16" spans="1:27" ht="24" customHeight="1" x14ac:dyDescent="0.35">
      <c r="B16" s="225"/>
      <c r="C16" s="49">
        <v>0.3</v>
      </c>
      <c r="D16" s="50">
        <v>0.3</v>
      </c>
      <c r="E16" s="51">
        <v>0.31</v>
      </c>
      <c r="F16" s="50">
        <v>0.29000000000000004</v>
      </c>
      <c r="G16" s="51">
        <v>0.30000000000000004</v>
      </c>
      <c r="H16" s="51">
        <v>0.31</v>
      </c>
      <c r="I16" s="51">
        <v>0.30000000000000004</v>
      </c>
      <c r="J16" s="50">
        <v>0.29999999999999993</v>
      </c>
      <c r="K16" s="51">
        <v>0.29000000000000004</v>
      </c>
      <c r="L16" s="51">
        <v>0.31999999999999995</v>
      </c>
      <c r="M16" s="50">
        <v>0.28999999999999998</v>
      </c>
      <c r="N16" s="51">
        <v>0.31</v>
      </c>
      <c r="O16" s="51">
        <v>0.30999999999999994</v>
      </c>
      <c r="P16" s="51">
        <v>0.29000000000000004</v>
      </c>
      <c r="Q16" s="50">
        <v>0.31</v>
      </c>
      <c r="R16" s="51">
        <v>0.29000000000000004</v>
      </c>
      <c r="S16" s="51">
        <v>0.31</v>
      </c>
      <c r="T16" s="50">
        <v>0.28999999999999998</v>
      </c>
      <c r="U16" s="51">
        <v>0.30999999999999994</v>
      </c>
      <c r="V16" s="51">
        <v>0.31</v>
      </c>
      <c r="W16" s="51">
        <v>0.31999999999999995</v>
      </c>
      <c r="X16" s="50">
        <v>0.39999999999999991</v>
      </c>
      <c r="Y16" s="51">
        <v>0.11</v>
      </c>
      <c r="Z16" s="50">
        <v>0.71</v>
      </c>
      <c r="AA16" s="52">
        <v>0</v>
      </c>
    </row>
    <row r="17" spans="1:27" s="93" customFormat="1" ht="21" customHeight="1" x14ac:dyDescent="0.35">
      <c r="A17" s="65"/>
      <c r="B17" s="228" t="s">
        <v>53</v>
      </c>
      <c r="C17" s="63">
        <v>8776</v>
      </c>
      <c r="D17" s="70">
        <v>4405</v>
      </c>
      <c r="E17" s="65">
        <v>4346</v>
      </c>
      <c r="F17" s="71">
        <v>1053</v>
      </c>
      <c r="G17" s="72">
        <v>1844</v>
      </c>
      <c r="H17" s="73">
        <v>2108</v>
      </c>
      <c r="I17" s="65">
        <v>3772</v>
      </c>
      <c r="J17" s="71">
        <v>1722</v>
      </c>
      <c r="K17" s="73">
        <v>3628</v>
      </c>
      <c r="L17" s="65">
        <v>2732</v>
      </c>
      <c r="M17" s="71">
        <v>789</v>
      </c>
      <c r="N17" s="72">
        <v>4203</v>
      </c>
      <c r="O17" s="73">
        <v>737</v>
      </c>
      <c r="P17" s="65">
        <v>2946</v>
      </c>
      <c r="Q17" s="71">
        <v>3365</v>
      </c>
      <c r="R17" s="73">
        <v>3238</v>
      </c>
      <c r="S17" s="65">
        <v>2153</v>
      </c>
      <c r="T17" s="71">
        <v>2225</v>
      </c>
      <c r="U17" s="72">
        <v>3472</v>
      </c>
      <c r="V17" s="73">
        <v>1290</v>
      </c>
      <c r="W17" s="65">
        <v>874</v>
      </c>
      <c r="X17" s="70">
        <v>5307</v>
      </c>
      <c r="Y17" s="65">
        <v>3200</v>
      </c>
      <c r="Z17" s="71">
        <v>0</v>
      </c>
      <c r="AA17" s="74">
        <v>8776</v>
      </c>
    </row>
    <row r="18" spans="1:27" ht="24" customHeight="1" x14ac:dyDescent="0.35">
      <c r="B18" s="225"/>
      <c r="C18" s="49">
        <v>0.33</v>
      </c>
      <c r="D18" s="50">
        <v>0.33</v>
      </c>
      <c r="E18" s="51">
        <v>0.31</v>
      </c>
      <c r="F18" s="50">
        <v>0.3</v>
      </c>
      <c r="G18" s="51">
        <v>0.28999999999999998</v>
      </c>
      <c r="H18" s="51">
        <v>0.31</v>
      </c>
      <c r="I18" s="51">
        <v>0.35</v>
      </c>
      <c r="J18" s="50">
        <v>0.29000000000000004</v>
      </c>
      <c r="K18" s="51">
        <v>0.33999999999999997</v>
      </c>
      <c r="L18" s="51">
        <v>0.35000000000000003</v>
      </c>
      <c r="M18" s="50">
        <v>0.29000000000000004</v>
      </c>
      <c r="N18" s="51">
        <v>0.33</v>
      </c>
      <c r="O18" s="51">
        <v>0.27</v>
      </c>
      <c r="P18" s="51">
        <v>0.35</v>
      </c>
      <c r="Q18" s="50">
        <v>0.31</v>
      </c>
      <c r="R18" s="51">
        <v>0.33999999999999997</v>
      </c>
      <c r="S18" s="51">
        <v>0.31</v>
      </c>
      <c r="T18" s="50">
        <v>0.32</v>
      </c>
      <c r="U18" s="51">
        <v>0.34</v>
      </c>
      <c r="V18" s="51">
        <v>0.33</v>
      </c>
      <c r="W18" s="51">
        <v>0.33</v>
      </c>
      <c r="X18" s="50">
        <v>0.28000000000000003</v>
      </c>
      <c r="Y18" s="51">
        <v>0.42000000000000004</v>
      </c>
      <c r="Z18" s="50">
        <v>0</v>
      </c>
      <c r="AA18" s="52">
        <v>0.63</v>
      </c>
    </row>
    <row r="19" spans="1:27" s="93" customFormat="1" ht="21" customHeight="1" x14ac:dyDescent="0.35">
      <c r="A19" s="65"/>
      <c r="B19" s="228" t="s">
        <v>54</v>
      </c>
      <c r="C19" s="63">
        <v>5125</v>
      </c>
      <c r="D19" s="70">
        <v>2745</v>
      </c>
      <c r="E19" s="65">
        <v>2358</v>
      </c>
      <c r="F19" s="71">
        <v>676</v>
      </c>
      <c r="G19" s="72">
        <v>1165</v>
      </c>
      <c r="H19" s="73">
        <v>1291</v>
      </c>
      <c r="I19" s="65">
        <v>1993</v>
      </c>
      <c r="J19" s="71">
        <v>1024</v>
      </c>
      <c r="K19" s="73">
        <v>2064</v>
      </c>
      <c r="L19" s="65">
        <v>1513</v>
      </c>
      <c r="M19" s="71">
        <v>536</v>
      </c>
      <c r="N19" s="72">
        <v>2389</v>
      </c>
      <c r="O19" s="73">
        <v>535</v>
      </c>
      <c r="P19" s="65">
        <v>1574</v>
      </c>
      <c r="Q19" s="71">
        <v>2138</v>
      </c>
      <c r="R19" s="73">
        <v>1777</v>
      </c>
      <c r="S19" s="65">
        <v>1193</v>
      </c>
      <c r="T19" s="71">
        <v>1356</v>
      </c>
      <c r="U19" s="72">
        <v>1920</v>
      </c>
      <c r="V19" s="73">
        <v>713</v>
      </c>
      <c r="W19" s="65">
        <v>545</v>
      </c>
      <c r="X19" s="70">
        <v>1691</v>
      </c>
      <c r="Y19" s="65">
        <v>3244</v>
      </c>
      <c r="Z19" s="71">
        <v>0</v>
      </c>
      <c r="AA19" s="74">
        <v>5125</v>
      </c>
    </row>
    <row r="20" spans="1:27" ht="24" customHeight="1" x14ac:dyDescent="0.35">
      <c r="B20" s="225"/>
      <c r="C20" s="49">
        <v>0.18000000000000005</v>
      </c>
      <c r="D20" s="50">
        <v>0.20999999999999996</v>
      </c>
      <c r="E20" s="51">
        <v>0.17000000000000004</v>
      </c>
      <c r="F20" s="50">
        <v>0.19000000000000006</v>
      </c>
      <c r="G20" s="51">
        <v>0.18999999999999995</v>
      </c>
      <c r="H20" s="51">
        <v>0.19000000000000006</v>
      </c>
      <c r="I20" s="51">
        <v>0.19000000000000006</v>
      </c>
      <c r="J20" s="50">
        <v>0.17000000000000004</v>
      </c>
      <c r="K20" s="51">
        <v>0.19000000000000006</v>
      </c>
      <c r="L20" s="51">
        <v>0.18999999999999995</v>
      </c>
      <c r="M20" s="50">
        <v>0.18999999999999995</v>
      </c>
      <c r="N20" s="51">
        <v>0.18999999999999995</v>
      </c>
      <c r="O20" s="51">
        <v>0.19999999999999996</v>
      </c>
      <c r="P20" s="51">
        <v>0.18000000000000005</v>
      </c>
      <c r="Q20" s="50">
        <v>0.18999999999999995</v>
      </c>
      <c r="R20" s="51">
        <v>0.19000000000000006</v>
      </c>
      <c r="S20" s="51">
        <v>0.18000000000000005</v>
      </c>
      <c r="T20" s="50">
        <v>0.19000000000000006</v>
      </c>
      <c r="U20" s="51">
        <v>0.18999999999999995</v>
      </c>
      <c r="V20" s="51">
        <v>0.17999999999999994</v>
      </c>
      <c r="W20" s="51">
        <v>0.19999999999999996</v>
      </c>
      <c r="X20" s="50">
        <v>8.9999999999999969E-2</v>
      </c>
      <c r="Y20" s="51">
        <v>0.42999999999999994</v>
      </c>
      <c r="Z20" s="50">
        <v>0</v>
      </c>
      <c r="AA20" s="52">
        <v>0.37</v>
      </c>
    </row>
    <row r="21" spans="1:27" s="93" customFormat="1" ht="21" customHeight="1" x14ac:dyDescent="0.35">
      <c r="A21" s="65"/>
      <c r="B21" s="228" t="s">
        <v>55</v>
      </c>
      <c r="C21" s="63">
        <v>1821</v>
      </c>
      <c r="D21" s="70">
        <v>650</v>
      </c>
      <c r="E21" s="65">
        <v>1150</v>
      </c>
      <c r="F21" s="71">
        <v>236</v>
      </c>
      <c r="G21" s="72">
        <v>375</v>
      </c>
      <c r="H21" s="73">
        <v>473</v>
      </c>
      <c r="I21" s="65">
        <v>737</v>
      </c>
      <c r="J21" s="71">
        <v>400</v>
      </c>
      <c r="K21" s="73">
        <v>752</v>
      </c>
      <c r="L21" s="65">
        <v>310</v>
      </c>
      <c r="M21" s="71">
        <v>130</v>
      </c>
      <c r="N21" s="72">
        <v>688</v>
      </c>
      <c r="O21" s="73">
        <v>170</v>
      </c>
      <c r="P21" s="65">
        <v>725</v>
      </c>
      <c r="Q21" s="71">
        <v>639</v>
      </c>
      <c r="R21" s="73">
        <v>628</v>
      </c>
      <c r="S21" s="65">
        <v>501</v>
      </c>
      <c r="T21" s="71">
        <v>459</v>
      </c>
      <c r="U21" s="72">
        <v>598</v>
      </c>
      <c r="V21" s="73">
        <v>224</v>
      </c>
      <c r="W21" s="65">
        <v>144</v>
      </c>
      <c r="X21" s="70">
        <v>1022</v>
      </c>
      <c r="Y21" s="65">
        <v>122</v>
      </c>
      <c r="Z21" s="71">
        <v>0</v>
      </c>
      <c r="AA21" s="74">
        <v>0</v>
      </c>
    </row>
    <row r="22" spans="1:27" ht="24" customHeight="1" thickBot="1" x14ac:dyDescent="0.4">
      <c r="B22" s="229"/>
      <c r="C22" s="53">
        <v>6.9999999999999951E-2</v>
      </c>
      <c r="D22" s="54">
        <v>5.0000000000000044E-2</v>
      </c>
      <c r="E22" s="55">
        <v>7.999999999999996E-2</v>
      </c>
      <c r="F22" s="56">
        <v>6.9999999999999951E-2</v>
      </c>
      <c r="G22" s="57">
        <v>6.0000000000000053E-2</v>
      </c>
      <c r="H22" s="58">
        <v>6.9999999999999951E-2</v>
      </c>
      <c r="I22" s="55">
        <v>6.9999999999999951E-2</v>
      </c>
      <c r="J22" s="56">
        <v>6.9999999999999951E-2</v>
      </c>
      <c r="K22" s="58">
        <v>6.9999999999999951E-2</v>
      </c>
      <c r="L22" s="55">
        <v>4.0000000000000036E-2</v>
      </c>
      <c r="M22" s="56">
        <v>5.0000000000000044E-2</v>
      </c>
      <c r="N22" s="57">
        <v>5.0000000000000044E-2</v>
      </c>
      <c r="O22" s="58">
        <v>6.0000000000000053E-2</v>
      </c>
      <c r="P22" s="55">
        <v>8.9999999999999969E-2</v>
      </c>
      <c r="Q22" s="56">
        <v>6.0000000000000053E-2</v>
      </c>
      <c r="R22" s="58">
        <v>6.9999999999999951E-2</v>
      </c>
      <c r="S22" s="55">
        <v>6.9999999999999951E-2</v>
      </c>
      <c r="T22" s="56">
        <v>6.9999999999999951E-2</v>
      </c>
      <c r="U22" s="57">
        <v>6.0000000000000053E-2</v>
      </c>
      <c r="V22" s="58">
        <v>6.0000000000000053E-2</v>
      </c>
      <c r="W22" s="55">
        <v>5.0000000000000044E-2</v>
      </c>
      <c r="X22" s="54">
        <v>6.0000000000000053E-2</v>
      </c>
      <c r="Y22" s="55">
        <v>2.0000000000000018E-2</v>
      </c>
      <c r="Z22" s="56">
        <v>0</v>
      </c>
      <c r="AA22" s="52">
        <v>0</v>
      </c>
    </row>
    <row r="23" spans="1:27" s="93" customFormat="1" ht="21" customHeight="1" x14ac:dyDescent="0.35">
      <c r="A23" s="65"/>
      <c r="B23" s="230" t="s">
        <v>409</v>
      </c>
      <c r="C23" s="75">
        <v>11570</v>
      </c>
      <c r="D23" s="76">
        <v>5316</v>
      </c>
      <c r="E23" s="77">
        <v>6202</v>
      </c>
      <c r="F23" s="78">
        <v>1570</v>
      </c>
      <c r="G23" s="79">
        <v>2887</v>
      </c>
      <c r="H23" s="80">
        <v>2970</v>
      </c>
      <c r="I23" s="77">
        <v>4142</v>
      </c>
      <c r="J23" s="78">
        <v>2841</v>
      </c>
      <c r="K23" s="80">
        <v>4353</v>
      </c>
      <c r="L23" s="77">
        <v>3300</v>
      </c>
      <c r="M23" s="78">
        <v>1310</v>
      </c>
      <c r="N23" s="79">
        <v>5565</v>
      </c>
      <c r="O23" s="80">
        <v>1281</v>
      </c>
      <c r="P23" s="77">
        <v>3272</v>
      </c>
      <c r="Q23" s="78">
        <v>4798</v>
      </c>
      <c r="R23" s="80">
        <v>3725</v>
      </c>
      <c r="S23" s="77">
        <v>3003</v>
      </c>
      <c r="T23" s="78">
        <v>2972</v>
      </c>
      <c r="U23" s="79">
        <v>4109</v>
      </c>
      <c r="V23" s="80">
        <v>1692</v>
      </c>
      <c r="W23" s="77">
        <v>1146</v>
      </c>
      <c r="X23" s="76">
        <v>10548</v>
      </c>
      <c r="Y23" s="77">
        <v>942</v>
      </c>
      <c r="Z23" s="78">
        <v>11570</v>
      </c>
      <c r="AA23" s="81">
        <v>0</v>
      </c>
    </row>
    <row r="24" spans="1:27" ht="24" customHeight="1" x14ac:dyDescent="0.35">
      <c r="B24" s="231"/>
      <c r="C24" s="49">
        <v>0.42</v>
      </c>
      <c r="D24" s="50">
        <v>0.41</v>
      </c>
      <c r="E24" s="51">
        <v>0.44</v>
      </c>
      <c r="F24" s="50">
        <v>0.44</v>
      </c>
      <c r="G24" s="51">
        <v>0.46</v>
      </c>
      <c r="H24" s="51">
        <v>0.43</v>
      </c>
      <c r="I24" s="51">
        <v>0.39</v>
      </c>
      <c r="J24" s="50">
        <v>0.47</v>
      </c>
      <c r="K24" s="51">
        <v>0.4</v>
      </c>
      <c r="L24" s="51">
        <v>0.42</v>
      </c>
      <c r="M24" s="50">
        <v>0.47</v>
      </c>
      <c r="N24" s="51">
        <v>0.43</v>
      </c>
      <c r="O24" s="51">
        <v>0.47</v>
      </c>
      <c r="P24" s="51">
        <v>0.38</v>
      </c>
      <c r="Q24" s="50">
        <v>0.44</v>
      </c>
      <c r="R24" s="51">
        <v>0.4</v>
      </c>
      <c r="S24" s="51">
        <v>0.44</v>
      </c>
      <c r="T24" s="50">
        <v>0.42</v>
      </c>
      <c r="U24" s="51">
        <v>0.41</v>
      </c>
      <c r="V24" s="51">
        <v>0.43</v>
      </c>
      <c r="W24" s="51">
        <v>0.42</v>
      </c>
      <c r="X24" s="50">
        <v>0.56999999999999995</v>
      </c>
      <c r="Y24" s="51">
        <v>0.13</v>
      </c>
      <c r="Z24" s="50">
        <v>1</v>
      </c>
      <c r="AA24" s="52">
        <v>0</v>
      </c>
    </row>
    <row r="25" spans="1:27" s="93" customFormat="1" ht="21" customHeight="1" x14ac:dyDescent="0.35">
      <c r="A25" s="65"/>
      <c r="B25" s="226" t="s">
        <v>410</v>
      </c>
      <c r="C25" s="63">
        <v>13901</v>
      </c>
      <c r="D25" s="70">
        <v>7150</v>
      </c>
      <c r="E25" s="65">
        <v>6704</v>
      </c>
      <c r="F25" s="71">
        <v>1729</v>
      </c>
      <c r="G25" s="72">
        <v>3009</v>
      </c>
      <c r="H25" s="73">
        <v>3399</v>
      </c>
      <c r="I25" s="65">
        <v>5765</v>
      </c>
      <c r="J25" s="71">
        <v>2746</v>
      </c>
      <c r="K25" s="73">
        <v>5692</v>
      </c>
      <c r="L25" s="65">
        <v>4245</v>
      </c>
      <c r="M25" s="71">
        <v>1325</v>
      </c>
      <c r="N25" s="72">
        <v>6592</v>
      </c>
      <c r="O25" s="73">
        <v>1272</v>
      </c>
      <c r="P25" s="65">
        <v>4520</v>
      </c>
      <c r="Q25" s="71">
        <v>5503</v>
      </c>
      <c r="R25" s="73">
        <v>5015</v>
      </c>
      <c r="S25" s="65">
        <v>3346</v>
      </c>
      <c r="T25" s="71">
        <v>3581</v>
      </c>
      <c r="U25" s="72">
        <v>5392</v>
      </c>
      <c r="V25" s="73">
        <v>2003</v>
      </c>
      <c r="W25" s="65">
        <v>1419</v>
      </c>
      <c r="X25" s="70">
        <v>6998</v>
      </c>
      <c r="Y25" s="65">
        <v>6444</v>
      </c>
      <c r="Z25" s="71">
        <v>0</v>
      </c>
      <c r="AA25" s="74">
        <v>13901</v>
      </c>
    </row>
    <row r="26" spans="1:27" ht="24" customHeight="1" thickBot="1" x14ac:dyDescent="0.4">
      <c r="B26" s="227"/>
      <c r="C26" s="59">
        <v>0.51</v>
      </c>
      <c r="D26" s="60">
        <v>0.54</v>
      </c>
      <c r="E26" s="61">
        <v>0.48000000000000004</v>
      </c>
      <c r="F26" s="60">
        <v>0.49000000000000005</v>
      </c>
      <c r="G26" s="61">
        <v>0.47999999999999993</v>
      </c>
      <c r="H26" s="61">
        <v>0.5</v>
      </c>
      <c r="I26" s="61">
        <v>0.54</v>
      </c>
      <c r="J26" s="60">
        <v>0.46000000000000008</v>
      </c>
      <c r="K26" s="61">
        <v>0.53</v>
      </c>
      <c r="L26" s="61">
        <v>0.54</v>
      </c>
      <c r="M26" s="60">
        <v>0.48</v>
      </c>
      <c r="N26" s="61">
        <v>0.52</v>
      </c>
      <c r="O26" s="61">
        <v>0.47</v>
      </c>
      <c r="P26" s="61">
        <v>0.53</v>
      </c>
      <c r="Q26" s="60">
        <v>0.49999999999999994</v>
      </c>
      <c r="R26" s="61">
        <v>0.53</v>
      </c>
      <c r="S26" s="61">
        <v>0.49000000000000005</v>
      </c>
      <c r="T26" s="60">
        <v>0.51</v>
      </c>
      <c r="U26" s="61">
        <v>0.53</v>
      </c>
      <c r="V26" s="61">
        <v>0.51</v>
      </c>
      <c r="W26" s="61">
        <v>0.53</v>
      </c>
      <c r="X26" s="60">
        <v>0.37</v>
      </c>
      <c r="Y26" s="61">
        <v>0.85</v>
      </c>
      <c r="Z26" s="60">
        <v>0</v>
      </c>
      <c r="AA26" s="62">
        <v>1</v>
      </c>
    </row>
    <row r="27" spans="1:27" x14ac:dyDescent="0.35"/>
    <row r="29" spans="1:27" ht="19" customHeight="1" x14ac:dyDescent="0.35">
      <c r="B29" s="1"/>
    </row>
  </sheetData>
  <mergeCells count="15">
    <mergeCell ref="B25:B26"/>
    <mergeCell ref="B15:B16"/>
    <mergeCell ref="B17:B18"/>
    <mergeCell ref="B19:B20"/>
    <mergeCell ref="B21:B22"/>
    <mergeCell ref="B23:B24"/>
    <mergeCell ref="T9:W9"/>
    <mergeCell ref="X9:Y9"/>
    <mergeCell ref="Z9:AA9"/>
    <mergeCell ref="B13:B14"/>
    <mergeCell ref="D9:E9"/>
    <mergeCell ref="F9:I9"/>
    <mergeCell ref="J9:L9"/>
    <mergeCell ref="M9:P9"/>
    <mergeCell ref="Q9:S9"/>
  </mergeCells>
  <hyperlinks>
    <hyperlink ref="B1" location="'Table of Contents'!A1" display="Home" xr:uid="{71DDAE03-1B2F-474C-959E-1C10BDF07B2A}"/>
  </hyperlinks>
  <pageMargins left="0.7" right="0.7" top="0.75" bottom="0.75" header="0.511811023622047" footer="0.511811023622047"/>
  <pageSetup paperSize="9" orientation="portrait" useFirstPageNumber="1"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4"/>
  <dimension ref="A1:AA30"/>
  <sheetViews>
    <sheetView showGridLines="0" zoomScale="60" zoomScaleNormal="60" workbookViewId="0"/>
  </sheetViews>
  <sheetFormatPr defaultColWidth="20.6328125" defaultRowHeight="19" customHeight="1" x14ac:dyDescent="0.35"/>
  <cols>
    <col min="1" max="1" width="8.81640625" style="1" customWidth="1"/>
    <col min="2" max="2" width="100.6328125" style="3" customWidth="1"/>
    <col min="3" max="3" width="20.6328125" style="2"/>
    <col min="4" max="27" width="20.6328125" style="1"/>
    <col min="28" max="16384" width="20.6328125" style="87"/>
  </cols>
  <sheetData>
    <row r="1" spans="1:27" x14ac:dyDescent="0.35">
      <c r="B1" s="37" t="s">
        <v>0</v>
      </c>
    </row>
    <row r="2" spans="1:27" x14ac:dyDescent="0.35">
      <c r="B2" s="3" t="s">
        <v>442</v>
      </c>
    </row>
    <row r="3" spans="1:27" s="88" customFormat="1" x14ac:dyDescent="0.35">
      <c r="A3" s="2"/>
      <c r="B3" s="3" t="s">
        <v>1</v>
      </c>
      <c r="C3" s="2"/>
      <c r="D3" s="2"/>
      <c r="E3" s="2"/>
      <c r="F3" s="2"/>
      <c r="G3" s="2"/>
      <c r="H3" s="2"/>
      <c r="I3" s="2"/>
      <c r="J3" s="2"/>
      <c r="K3" s="2"/>
      <c r="L3" s="2"/>
      <c r="M3" s="2"/>
      <c r="N3" s="2"/>
      <c r="O3" s="2"/>
      <c r="P3" s="2"/>
      <c r="Q3" s="2"/>
      <c r="R3" s="2"/>
      <c r="S3" s="2"/>
      <c r="T3" s="2"/>
      <c r="U3" s="2"/>
      <c r="V3" s="2"/>
      <c r="W3" s="2"/>
      <c r="X3" s="2"/>
      <c r="Y3" s="2"/>
      <c r="Z3" s="2"/>
      <c r="AA3" s="2"/>
    </row>
    <row r="4" spans="1:27" x14ac:dyDescent="0.35">
      <c r="B4" s="3" t="s">
        <v>2</v>
      </c>
    </row>
    <row r="6" spans="1:27" s="88" customFormat="1" ht="19" customHeight="1" x14ac:dyDescent="0.35">
      <c r="A6" s="2"/>
      <c r="B6" s="28" t="s">
        <v>57</v>
      </c>
      <c r="C6" s="2"/>
      <c r="D6" s="2"/>
      <c r="E6" s="2"/>
      <c r="F6" s="2"/>
      <c r="G6" s="2"/>
      <c r="H6" s="2"/>
      <c r="I6" s="2"/>
      <c r="J6" s="2"/>
      <c r="K6" s="2"/>
      <c r="L6" s="2"/>
      <c r="M6" s="2"/>
      <c r="N6" s="2"/>
      <c r="O6" s="2"/>
      <c r="P6" s="2"/>
      <c r="Q6" s="2"/>
      <c r="R6" s="2"/>
      <c r="S6" s="2"/>
      <c r="T6" s="2"/>
      <c r="U6" s="2"/>
      <c r="V6" s="2"/>
      <c r="W6" s="2"/>
      <c r="X6" s="2"/>
      <c r="Y6" s="2"/>
      <c r="Z6" s="2"/>
      <c r="AA6" s="2"/>
    </row>
    <row r="7" spans="1:27" ht="19.5" customHeight="1" x14ac:dyDescent="0.35">
      <c r="B7" s="215" t="s">
        <v>415</v>
      </c>
    </row>
    <row r="8" spans="1:27" ht="19" customHeight="1" thickBot="1" x14ac:dyDescent="0.4">
      <c r="A8" s="2"/>
    </row>
    <row r="9" spans="1:27" s="89" customFormat="1" ht="19.5" customHeight="1" x14ac:dyDescent="0.4">
      <c r="A9" s="2"/>
      <c r="B9" s="5"/>
      <c r="C9" s="6" t="s">
        <v>21</v>
      </c>
      <c r="D9" s="221" t="s">
        <v>22</v>
      </c>
      <c r="E9" s="222"/>
      <c r="F9" s="221" t="s">
        <v>23</v>
      </c>
      <c r="G9" s="222"/>
      <c r="H9" s="222"/>
      <c r="I9" s="222"/>
      <c r="J9" s="221" t="s">
        <v>24</v>
      </c>
      <c r="K9" s="222"/>
      <c r="L9" s="222"/>
      <c r="M9" s="221" t="s">
        <v>25</v>
      </c>
      <c r="N9" s="222"/>
      <c r="O9" s="222"/>
      <c r="P9" s="222"/>
      <c r="Q9" s="221" t="s">
        <v>26</v>
      </c>
      <c r="R9" s="222"/>
      <c r="S9" s="222"/>
      <c r="T9" s="221" t="s">
        <v>27</v>
      </c>
      <c r="U9" s="222"/>
      <c r="V9" s="222"/>
      <c r="W9" s="222"/>
      <c r="X9" s="221" t="s">
        <v>28</v>
      </c>
      <c r="Y9" s="222"/>
      <c r="Z9" s="221" t="s">
        <v>29</v>
      </c>
      <c r="AA9" s="223"/>
    </row>
    <row r="10" spans="1:27" s="89" customFormat="1" ht="57" customHeight="1" thickBot="1" x14ac:dyDescent="0.45">
      <c r="A10" s="2"/>
      <c r="B10" s="91"/>
      <c r="C10" s="7" t="e" vm="1">
        <v>#VALUE!</v>
      </c>
      <c r="D10" s="8" t="s">
        <v>30</v>
      </c>
      <c r="E10" s="9" t="s">
        <v>31</v>
      </c>
      <c r="F10" s="10" t="s">
        <v>32</v>
      </c>
      <c r="G10" s="11" t="s">
        <v>33</v>
      </c>
      <c r="H10" s="12" t="s">
        <v>34</v>
      </c>
      <c r="I10" s="9" t="s">
        <v>35</v>
      </c>
      <c r="J10" s="10" t="s">
        <v>36</v>
      </c>
      <c r="K10" s="12" t="s">
        <v>37</v>
      </c>
      <c r="L10" s="9" t="s">
        <v>38</v>
      </c>
      <c r="M10" s="10" t="s">
        <v>39</v>
      </c>
      <c r="N10" s="11" t="s">
        <v>40</v>
      </c>
      <c r="O10" s="12" t="s">
        <v>41</v>
      </c>
      <c r="P10" s="9" t="s">
        <v>42</v>
      </c>
      <c r="Q10" s="10" t="s">
        <v>43</v>
      </c>
      <c r="R10" s="12" t="s">
        <v>44</v>
      </c>
      <c r="S10" s="9" t="s">
        <v>45</v>
      </c>
      <c r="T10" s="34">
        <v>1</v>
      </c>
      <c r="U10" s="35">
        <v>2</v>
      </c>
      <c r="V10" s="36">
        <v>3</v>
      </c>
      <c r="W10" s="9" t="s">
        <v>46</v>
      </c>
      <c r="X10" s="13" t="s">
        <v>409</v>
      </c>
      <c r="Y10" s="9" t="s">
        <v>410</v>
      </c>
      <c r="Z10" s="10" t="s">
        <v>409</v>
      </c>
      <c r="AA10" s="31" t="s">
        <v>410</v>
      </c>
    </row>
    <row r="11" spans="1:27" s="92" customFormat="1" ht="18.75" customHeight="1" x14ac:dyDescent="0.35">
      <c r="A11" s="25"/>
      <c r="B11" s="14" t="s">
        <v>49</v>
      </c>
      <c r="C11" s="26">
        <v>27292</v>
      </c>
      <c r="D11" s="39">
        <v>13488</v>
      </c>
      <c r="E11" s="26">
        <v>13685</v>
      </c>
      <c r="F11" s="40">
        <v>3682</v>
      </c>
      <c r="G11" s="41">
        <v>7667</v>
      </c>
      <c r="H11" s="42">
        <v>7751</v>
      </c>
      <c r="I11" s="26">
        <v>8192</v>
      </c>
      <c r="J11" s="40">
        <v>2780</v>
      </c>
      <c r="K11" s="42">
        <v>9601</v>
      </c>
      <c r="L11" s="26">
        <v>12258</v>
      </c>
      <c r="M11" s="40">
        <v>2997</v>
      </c>
      <c r="N11" s="41">
        <v>14034</v>
      </c>
      <c r="O11" s="42">
        <v>2839</v>
      </c>
      <c r="P11" s="26">
        <v>6900</v>
      </c>
      <c r="Q11" s="40">
        <v>10494</v>
      </c>
      <c r="R11" s="42">
        <v>10245</v>
      </c>
      <c r="S11" s="26">
        <v>6421</v>
      </c>
      <c r="T11" s="40">
        <v>6218</v>
      </c>
      <c r="U11" s="41">
        <v>10287</v>
      </c>
      <c r="V11" s="42">
        <v>4457</v>
      </c>
      <c r="W11" s="26">
        <v>3439</v>
      </c>
      <c r="X11" s="39">
        <v>17539</v>
      </c>
      <c r="Y11" s="26">
        <v>8634</v>
      </c>
      <c r="Z11" s="40">
        <v>11191</v>
      </c>
      <c r="AA11" s="43">
        <v>14524</v>
      </c>
    </row>
    <row r="12" spans="1:27" s="92" customFormat="1" ht="18.75" customHeight="1" thickBot="1" x14ac:dyDescent="0.4">
      <c r="A12" s="26"/>
      <c r="B12" s="15" t="s">
        <v>50</v>
      </c>
      <c r="C12" s="44">
        <v>27292</v>
      </c>
      <c r="D12" s="45">
        <v>13117</v>
      </c>
      <c r="E12" s="46">
        <v>14056</v>
      </c>
      <c r="F12" s="45">
        <v>3535</v>
      </c>
      <c r="G12" s="47">
        <v>6272</v>
      </c>
      <c r="H12" s="47">
        <v>6843</v>
      </c>
      <c r="I12" s="46">
        <v>10643</v>
      </c>
      <c r="J12" s="45">
        <v>5987</v>
      </c>
      <c r="K12" s="47">
        <v>10797</v>
      </c>
      <c r="L12" s="46">
        <v>7855</v>
      </c>
      <c r="M12" s="45">
        <v>2765</v>
      </c>
      <c r="N12" s="47">
        <v>12846</v>
      </c>
      <c r="O12" s="47">
        <v>2724</v>
      </c>
      <c r="P12" s="46">
        <v>8517</v>
      </c>
      <c r="Q12" s="45">
        <v>10940</v>
      </c>
      <c r="R12" s="47">
        <v>9369</v>
      </c>
      <c r="S12" s="46">
        <v>6851</v>
      </c>
      <c r="T12" s="45">
        <v>7012</v>
      </c>
      <c r="U12" s="47">
        <v>10099</v>
      </c>
      <c r="V12" s="47">
        <v>3919</v>
      </c>
      <c r="W12" s="46">
        <v>2709</v>
      </c>
      <c r="X12" s="45">
        <v>18568</v>
      </c>
      <c r="Y12" s="46">
        <v>7508</v>
      </c>
      <c r="Z12" s="45">
        <v>11570</v>
      </c>
      <c r="AA12" s="48">
        <v>13901</v>
      </c>
    </row>
    <row r="13" spans="1:27" s="93" customFormat="1" ht="21" customHeight="1" x14ac:dyDescent="0.35">
      <c r="A13" s="65"/>
      <c r="B13" s="224" t="s">
        <v>58</v>
      </c>
      <c r="C13" s="63">
        <v>3191</v>
      </c>
      <c r="D13" s="64">
        <v>1881</v>
      </c>
      <c r="E13" s="65">
        <v>1299</v>
      </c>
      <c r="F13" s="66">
        <v>590</v>
      </c>
      <c r="G13" s="67">
        <v>941</v>
      </c>
      <c r="H13" s="68">
        <v>729</v>
      </c>
      <c r="I13" s="65">
        <v>931</v>
      </c>
      <c r="J13" s="66">
        <v>920</v>
      </c>
      <c r="K13" s="68">
        <v>1033</v>
      </c>
      <c r="L13" s="65">
        <v>938</v>
      </c>
      <c r="M13" s="66">
        <v>532</v>
      </c>
      <c r="N13" s="67">
        <v>1520</v>
      </c>
      <c r="O13" s="68">
        <v>343</v>
      </c>
      <c r="P13" s="65">
        <v>743</v>
      </c>
      <c r="Q13" s="66">
        <v>1415</v>
      </c>
      <c r="R13" s="68">
        <v>916</v>
      </c>
      <c r="S13" s="65">
        <v>841</v>
      </c>
      <c r="T13" s="66">
        <v>887</v>
      </c>
      <c r="U13" s="67">
        <v>929</v>
      </c>
      <c r="V13" s="68">
        <v>477</v>
      </c>
      <c r="W13" s="65">
        <v>302</v>
      </c>
      <c r="X13" s="64">
        <v>2149</v>
      </c>
      <c r="Y13" s="65">
        <v>974</v>
      </c>
      <c r="Z13" s="66">
        <v>1512</v>
      </c>
      <c r="AA13" s="69">
        <v>1600</v>
      </c>
    </row>
    <row r="14" spans="1:27" ht="24" customHeight="1" x14ac:dyDescent="0.35">
      <c r="B14" s="225"/>
      <c r="C14" s="49">
        <v>0.12</v>
      </c>
      <c r="D14" s="50">
        <v>0.14000000000000001</v>
      </c>
      <c r="E14" s="51">
        <v>0.09</v>
      </c>
      <c r="F14" s="50">
        <v>0.17</v>
      </c>
      <c r="G14" s="51">
        <v>0.15</v>
      </c>
      <c r="H14" s="51">
        <v>0.11</v>
      </c>
      <c r="I14" s="51">
        <v>0.09</v>
      </c>
      <c r="J14" s="50">
        <v>0.15</v>
      </c>
      <c r="K14" s="51">
        <v>0.1</v>
      </c>
      <c r="L14" s="51">
        <v>0.12</v>
      </c>
      <c r="M14" s="50">
        <v>0.19</v>
      </c>
      <c r="N14" s="51">
        <v>0.12</v>
      </c>
      <c r="O14" s="51">
        <v>0.13</v>
      </c>
      <c r="P14" s="51">
        <v>0.09</v>
      </c>
      <c r="Q14" s="50">
        <v>0.13</v>
      </c>
      <c r="R14" s="51">
        <v>0.1</v>
      </c>
      <c r="S14" s="51">
        <v>0.12</v>
      </c>
      <c r="T14" s="50">
        <v>0.13</v>
      </c>
      <c r="U14" s="51">
        <v>0.09</v>
      </c>
      <c r="V14" s="51">
        <v>0.12</v>
      </c>
      <c r="W14" s="51">
        <v>0.11</v>
      </c>
      <c r="X14" s="50">
        <v>0.12</v>
      </c>
      <c r="Y14" s="51">
        <v>0.13</v>
      </c>
      <c r="Z14" s="50">
        <v>0.13</v>
      </c>
      <c r="AA14" s="52">
        <v>0.12</v>
      </c>
    </row>
    <row r="15" spans="1:27" s="93" customFormat="1" ht="21" customHeight="1" x14ac:dyDescent="0.35">
      <c r="A15" s="65"/>
      <c r="B15" s="228" t="s">
        <v>59</v>
      </c>
      <c r="C15" s="63">
        <v>10999</v>
      </c>
      <c r="D15" s="70">
        <v>5247</v>
      </c>
      <c r="E15" s="65">
        <v>5704</v>
      </c>
      <c r="F15" s="71">
        <v>1569</v>
      </c>
      <c r="G15" s="72">
        <v>2469</v>
      </c>
      <c r="H15" s="73">
        <v>2679</v>
      </c>
      <c r="I15" s="65">
        <v>4283</v>
      </c>
      <c r="J15" s="71">
        <v>2235</v>
      </c>
      <c r="K15" s="73">
        <v>4218</v>
      </c>
      <c r="L15" s="65">
        <v>3564</v>
      </c>
      <c r="M15" s="71">
        <v>1042</v>
      </c>
      <c r="N15" s="72">
        <v>5495</v>
      </c>
      <c r="O15" s="73">
        <v>1007</v>
      </c>
      <c r="P15" s="65">
        <v>3304</v>
      </c>
      <c r="Q15" s="71">
        <v>4358</v>
      </c>
      <c r="R15" s="73">
        <v>3961</v>
      </c>
      <c r="S15" s="65">
        <v>2656</v>
      </c>
      <c r="T15" s="71">
        <v>2722</v>
      </c>
      <c r="U15" s="72">
        <v>4171</v>
      </c>
      <c r="V15" s="73">
        <v>1622</v>
      </c>
      <c r="W15" s="65">
        <v>1210</v>
      </c>
      <c r="X15" s="70">
        <v>7334</v>
      </c>
      <c r="Y15" s="65">
        <v>3295</v>
      </c>
      <c r="Z15" s="71">
        <v>4009</v>
      </c>
      <c r="AA15" s="74">
        <v>6413</v>
      </c>
    </row>
    <row r="16" spans="1:27" ht="24" customHeight="1" x14ac:dyDescent="0.35">
      <c r="B16" s="225"/>
      <c r="C16" s="49">
        <v>0.4</v>
      </c>
      <c r="D16" s="50">
        <v>0.4</v>
      </c>
      <c r="E16" s="51">
        <v>0.41000000000000003</v>
      </c>
      <c r="F16" s="50">
        <v>0.43999999999999995</v>
      </c>
      <c r="G16" s="51">
        <v>0.39</v>
      </c>
      <c r="H16" s="51">
        <v>0.39</v>
      </c>
      <c r="I16" s="51">
        <v>0.4</v>
      </c>
      <c r="J16" s="50">
        <v>0.38</v>
      </c>
      <c r="K16" s="51">
        <v>0.39</v>
      </c>
      <c r="L16" s="51">
        <v>0.44999999999999996</v>
      </c>
      <c r="M16" s="50">
        <v>0.37999999999999995</v>
      </c>
      <c r="N16" s="51">
        <v>0.43000000000000005</v>
      </c>
      <c r="O16" s="51">
        <v>0.37</v>
      </c>
      <c r="P16" s="51">
        <v>0.39</v>
      </c>
      <c r="Q16" s="50">
        <v>0.4</v>
      </c>
      <c r="R16" s="51">
        <v>0.42000000000000004</v>
      </c>
      <c r="S16" s="51">
        <v>0.39</v>
      </c>
      <c r="T16" s="50">
        <v>0.38</v>
      </c>
      <c r="U16" s="51">
        <v>0.42000000000000004</v>
      </c>
      <c r="V16" s="51">
        <v>0.42000000000000004</v>
      </c>
      <c r="W16" s="51">
        <v>0.45000000000000007</v>
      </c>
      <c r="X16" s="50">
        <v>0.39</v>
      </c>
      <c r="Y16" s="51">
        <v>0.43999999999999995</v>
      </c>
      <c r="Z16" s="50">
        <v>0.35</v>
      </c>
      <c r="AA16" s="52">
        <v>0.45999999999999996</v>
      </c>
    </row>
    <row r="17" spans="1:27" s="93" customFormat="1" ht="21" customHeight="1" x14ac:dyDescent="0.35">
      <c r="A17" s="65"/>
      <c r="B17" s="228" t="s">
        <v>60</v>
      </c>
      <c r="C17" s="63">
        <v>7381</v>
      </c>
      <c r="D17" s="70">
        <v>3367</v>
      </c>
      <c r="E17" s="65">
        <v>3989</v>
      </c>
      <c r="F17" s="71">
        <v>912</v>
      </c>
      <c r="G17" s="72">
        <v>1718</v>
      </c>
      <c r="H17" s="73">
        <v>1901</v>
      </c>
      <c r="I17" s="65">
        <v>2851</v>
      </c>
      <c r="J17" s="71">
        <v>1532</v>
      </c>
      <c r="K17" s="73">
        <v>3197</v>
      </c>
      <c r="L17" s="65">
        <v>1964</v>
      </c>
      <c r="M17" s="71">
        <v>673</v>
      </c>
      <c r="N17" s="72">
        <v>3451</v>
      </c>
      <c r="O17" s="73">
        <v>753</v>
      </c>
      <c r="P17" s="65">
        <v>2396</v>
      </c>
      <c r="Q17" s="71">
        <v>2923</v>
      </c>
      <c r="R17" s="73">
        <v>2666</v>
      </c>
      <c r="S17" s="65">
        <v>1772</v>
      </c>
      <c r="T17" s="71">
        <v>1836</v>
      </c>
      <c r="U17" s="72">
        <v>2842</v>
      </c>
      <c r="V17" s="73">
        <v>1096</v>
      </c>
      <c r="W17" s="65">
        <v>691</v>
      </c>
      <c r="X17" s="70">
        <v>5352</v>
      </c>
      <c r="Y17" s="65">
        <v>1832</v>
      </c>
      <c r="Z17" s="71">
        <v>3372</v>
      </c>
      <c r="AA17" s="74">
        <v>3626</v>
      </c>
    </row>
    <row r="18" spans="1:27" ht="24" customHeight="1" x14ac:dyDescent="0.35">
      <c r="B18" s="225"/>
      <c r="C18" s="49">
        <v>0.27</v>
      </c>
      <c r="D18" s="50">
        <v>0.26</v>
      </c>
      <c r="E18" s="51">
        <v>0.28000000000000003</v>
      </c>
      <c r="F18" s="50">
        <v>0.26</v>
      </c>
      <c r="G18" s="51">
        <v>0.27999999999999992</v>
      </c>
      <c r="H18" s="51">
        <v>0.28000000000000003</v>
      </c>
      <c r="I18" s="51">
        <v>0.27</v>
      </c>
      <c r="J18" s="50">
        <v>0.25</v>
      </c>
      <c r="K18" s="51">
        <v>0.29000000000000004</v>
      </c>
      <c r="L18" s="51">
        <v>0.25</v>
      </c>
      <c r="M18" s="50">
        <v>0.2400000000000001</v>
      </c>
      <c r="N18" s="51">
        <v>0.26</v>
      </c>
      <c r="O18" s="51">
        <v>0.27</v>
      </c>
      <c r="P18" s="51">
        <v>0.28000000000000003</v>
      </c>
      <c r="Q18" s="50">
        <v>0.26</v>
      </c>
      <c r="R18" s="51">
        <v>0.29000000000000004</v>
      </c>
      <c r="S18" s="51">
        <v>0.26</v>
      </c>
      <c r="T18" s="50">
        <v>0.27</v>
      </c>
      <c r="U18" s="51">
        <v>0.28000000000000003</v>
      </c>
      <c r="V18" s="51">
        <v>0.27999999999999992</v>
      </c>
      <c r="W18" s="51">
        <v>0.25</v>
      </c>
      <c r="X18" s="50">
        <v>0.29000000000000004</v>
      </c>
      <c r="Y18" s="51">
        <v>0.2400000000000001</v>
      </c>
      <c r="Z18" s="50">
        <v>0.29000000000000004</v>
      </c>
      <c r="AA18" s="52">
        <v>0.26</v>
      </c>
    </row>
    <row r="19" spans="1:27" s="93" customFormat="1" ht="21" customHeight="1" x14ac:dyDescent="0.35">
      <c r="A19" s="65"/>
      <c r="B19" s="228" t="s">
        <v>61</v>
      </c>
      <c r="C19" s="63">
        <v>4387</v>
      </c>
      <c r="D19" s="70">
        <v>2241</v>
      </c>
      <c r="E19" s="65">
        <v>2123</v>
      </c>
      <c r="F19" s="71">
        <v>278</v>
      </c>
      <c r="G19" s="72">
        <v>859</v>
      </c>
      <c r="H19" s="73">
        <v>1211</v>
      </c>
      <c r="I19" s="65">
        <v>2039</v>
      </c>
      <c r="J19" s="71">
        <v>1010</v>
      </c>
      <c r="K19" s="73">
        <v>1861</v>
      </c>
      <c r="L19" s="65">
        <v>1097</v>
      </c>
      <c r="M19" s="71">
        <v>421</v>
      </c>
      <c r="N19" s="72">
        <v>1890</v>
      </c>
      <c r="O19" s="73">
        <v>486</v>
      </c>
      <c r="P19" s="65">
        <v>1542</v>
      </c>
      <c r="Q19" s="71">
        <v>1793</v>
      </c>
      <c r="R19" s="73">
        <v>1383</v>
      </c>
      <c r="S19" s="65">
        <v>1195</v>
      </c>
      <c r="T19" s="71">
        <v>1211</v>
      </c>
      <c r="U19" s="72">
        <v>1725</v>
      </c>
      <c r="V19" s="73">
        <v>572</v>
      </c>
      <c r="W19" s="65">
        <v>374</v>
      </c>
      <c r="X19" s="70">
        <v>3106</v>
      </c>
      <c r="Y19" s="65">
        <v>1165</v>
      </c>
      <c r="Z19" s="71">
        <v>2362</v>
      </c>
      <c r="AA19" s="74">
        <v>1729</v>
      </c>
    </row>
    <row r="20" spans="1:27" ht="24" customHeight="1" x14ac:dyDescent="0.35">
      <c r="B20" s="225"/>
      <c r="C20" s="49">
        <v>0.15999999999999992</v>
      </c>
      <c r="D20" s="50">
        <v>0.16999999999999993</v>
      </c>
      <c r="E20" s="51">
        <v>0.15000000000000002</v>
      </c>
      <c r="F20" s="50">
        <v>7.999999999999996E-2</v>
      </c>
      <c r="G20" s="51">
        <v>0.13</v>
      </c>
      <c r="H20" s="51">
        <v>0.16999999999999993</v>
      </c>
      <c r="I20" s="51">
        <v>0.18999999999999995</v>
      </c>
      <c r="J20" s="50">
        <v>0.16999999999999993</v>
      </c>
      <c r="K20" s="51">
        <v>0.16999999999999993</v>
      </c>
      <c r="L20" s="51">
        <v>0.14000000000000001</v>
      </c>
      <c r="M20" s="50">
        <v>0.14999999999999991</v>
      </c>
      <c r="N20" s="51">
        <v>0.14999999999999991</v>
      </c>
      <c r="O20" s="51">
        <v>0.17999999999999994</v>
      </c>
      <c r="P20" s="51">
        <v>0.17999999999999994</v>
      </c>
      <c r="Q20" s="50">
        <v>0.16999999999999993</v>
      </c>
      <c r="R20" s="51">
        <v>0.1399999999999999</v>
      </c>
      <c r="S20" s="51">
        <v>0.16999999999999993</v>
      </c>
      <c r="T20" s="50">
        <v>0.16999999999999993</v>
      </c>
      <c r="U20" s="51">
        <v>0.16999999999999993</v>
      </c>
      <c r="V20" s="51">
        <v>0.14000000000000001</v>
      </c>
      <c r="W20" s="51">
        <v>0.1399999999999999</v>
      </c>
      <c r="X20" s="50">
        <v>0.16999999999999993</v>
      </c>
      <c r="Y20" s="51">
        <v>0.15999999999999992</v>
      </c>
      <c r="Z20" s="50">
        <v>0.19999999999999996</v>
      </c>
      <c r="AA20" s="52">
        <v>0.12</v>
      </c>
    </row>
    <row r="21" spans="1:27" s="93" customFormat="1" ht="21" customHeight="1" x14ac:dyDescent="0.35">
      <c r="A21" s="65"/>
      <c r="B21" s="228" t="s">
        <v>55</v>
      </c>
      <c r="C21" s="63">
        <v>1333</v>
      </c>
      <c r="D21" s="70">
        <v>381</v>
      </c>
      <c r="E21" s="65">
        <v>940</v>
      </c>
      <c r="F21" s="71">
        <v>187</v>
      </c>
      <c r="G21" s="72">
        <v>285</v>
      </c>
      <c r="H21" s="73">
        <v>322</v>
      </c>
      <c r="I21" s="65">
        <v>539</v>
      </c>
      <c r="J21" s="71">
        <v>290</v>
      </c>
      <c r="K21" s="73">
        <v>488</v>
      </c>
      <c r="L21" s="65">
        <v>293</v>
      </c>
      <c r="M21" s="71">
        <v>97</v>
      </c>
      <c r="N21" s="72">
        <v>489</v>
      </c>
      <c r="O21" s="73">
        <v>136</v>
      </c>
      <c r="P21" s="65">
        <v>531</v>
      </c>
      <c r="Q21" s="71">
        <v>451</v>
      </c>
      <c r="R21" s="73">
        <v>443</v>
      </c>
      <c r="S21" s="65">
        <v>386</v>
      </c>
      <c r="T21" s="71">
        <v>356</v>
      </c>
      <c r="U21" s="72">
        <v>432</v>
      </c>
      <c r="V21" s="73">
        <v>152</v>
      </c>
      <c r="W21" s="65">
        <v>131</v>
      </c>
      <c r="X21" s="70">
        <v>626</v>
      </c>
      <c r="Y21" s="65">
        <v>242</v>
      </c>
      <c r="Z21" s="71">
        <v>315</v>
      </c>
      <c r="AA21" s="74">
        <v>533</v>
      </c>
    </row>
    <row r="22" spans="1:27" ht="24" customHeight="1" thickBot="1" x14ac:dyDescent="0.4">
      <c r="B22" s="229"/>
      <c r="C22" s="53">
        <v>5.0000000000000044E-2</v>
      </c>
      <c r="D22" s="54">
        <v>3.0000000000000027E-2</v>
      </c>
      <c r="E22" s="55">
        <v>6.9999999999999951E-2</v>
      </c>
      <c r="F22" s="56">
        <v>5.0000000000000044E-2</v>
      </c>
      <c r="G22" s="57">
        <v>5.0000000000000044E-2</v>
      </c>
      <c r="H22" s="58">
        <v>5.0000000000000044E-2</v>
      </c>
      <c r="I22" s="55">
        <v>5.0000000000000044E-2</v>
      </c>
      <c r="J22" s="56">
        <v>5.0000000000000044E-2</v>
      </c>
      <c r="K22" s="58">
        <v>5.0000000000000044E-2</v>
      </c>
      <c r="L22" s="55">
        <v>4.0000000000000036E-2</v>
      </c>
      <c r="M22" s="56">
        <v>4.0000000000000036E-2</v>
      </c>
      <c r="N22" s="57">
        <v>4.0000000000000036E-2</v>
      </c>
      <c r="O22" s="58">
        <v>5.0000000000000044E-2</v>
      </c>
      <c r="P22" s="55">
        <v>6.0000000000000053E-2</v>
      </c>
      <c r="Q22" s="56">
        <v>4.0000000000000036E-2</v>
      </c>
      <c r="R22" s="58">
        <v>5.0000000000000044E-2</v>
      </c>
      <c r="S22" s="55">
        <v>6.0000000000000053E-2</v>
      </c>
      <c r="T22" s="56">
        <v>5.0000000000000044E-2</v>
      </c>
      <c r="U22" s="57">
        <v>4.0000000000000036E-2</v>
      </c>
      <c r="V22" s="58">
        <v>4.0000000000000036E-2</v>
      </c>
      <c r="W22" s="55">
        <v>5.0000000000000044E-2</v>
      </c>
      <c r="X22" s="54">
        <v>3.0000000000000027E-2</v>
      </c>
      <c r="Y22" s="55">
        <v>3.0000000000000027E-2</v>
      </c>
      <c r="Z22" s="56">
        <v>3.0000000000000027E-2</v>
      </c>
      <c r="AA22" s="52">
        <v>4.0000000000000036E-2</v>
      </c>
    </row>
    <row r="23" spans="1:27" s="93" customFormat="1" ht="21" customHeight="1" x14ac:dyDescent="0.35">
      <c r="A23" s="65"/>
      <c r="B23" s="230" t="s">
        <v>411</v>
      </c>
      <c r="C23" s="75">
        <v>14190</v>
      </c>
      <c r="D23" s="76">
        <v>7128</v>
      </c>
      <c r="E23" s="77">
        <v>7003</v>
      </c>
      <c r="F23" s="78">
        <v>2159</v>
      </c>
      <c r="G23" s="79">
        <v>3410</v>
      </c>
      <c r="H23" s="80">
        <v>3408</v>
      </c>
      <c r="I23" s="77">
        <v>5214</v>
      </c>
      <c r="J23" s="78">
        <v>3155</v>
      </c>
      <c r="K23" s="80">
        <v>5251</v>
      </c>
      <c r="L23" s="77">
        <v>4502</v>
      </c>
      <c r="M23" s="78">
        <v>1574</v>
      </c>
      <c r="N23" s="79">
        <v>7015</v>
      </c>
      <c r="O23" s="80">
        <v>1350</v>
      </c>
      <c r="P23" s="77">
        <v>4047</v>
      </c>
      <c r="Q23" s="78">
        <v>5773</v>
      </c>
      <c r="R23" s="80">
        <v>4877</v>
      </c>
      <c r="S23" s="77">
        <v>3497</v>
      </c>
      <c r="T23" s="78">
        <v>3609</v>
      </c>
      <c r="U23" s="79">
        <v>5100</v>
      </c>
      <c r="V23" s="80">
        <v>2099</v>
      </c>
      <c r="W23" s="77">
        <v>1512</v>
      </c>
      <c r="X23" s="76">
        <v>9483</v>
      </c>
      <c r="Y23" s="77">
        <v>4269</v>
      </c>
      <c r="Z23" s="78">
        <v>5521</v>
      </c>
      <c r="AA23" s="81">
        <v>8013</v>
      </c>
    </row>
    <row r="24" spans="1:27" ht="24" customHeight="1" x14ac:dyDescent="0.35">
      <c r="B24" s="231"/>
      <c r="C24" s="49">
        <v>0.52</v>
      </c>
      <c r="D24" s="50">
        <v>0.54</v>
      </c>
      <c r="E24" s="51">
        <v>0.5</v>
      </c>
      <c r="F24" s="50">
        <v>0.61</v>
      </c>
      <c r="G24" s="51">
        <v>0.54</v>
      </c>
      <c r="H24" s="51">
        <v>0.5</v>
      </c>
      <c r="I24" s="51">
        <v>0.49</v>
      </c>
      <c r="J24" s="50">
        <v>0.53</v>
      </c>
      <c r="K24" s="51">
        <v>0.49</v>
      </c>
      <c r="L24" s="51">
        <v>0.56999999999999995</v>
      </c>
      <c r="M24" s="50">
        <v>0.56999999999999995</v>
      </c>
      <c r="N24" s="51">
        <v>0.55000000000000004</v>
      </c>
      <c r="O24" s="51">
        <v>0.5</v>
      </c>
      <c r="P24" s="51">
        <v>0.48</v>
      </c>
      <c r="Q24" s="50">
        <v>0.53</v>
      </c>
      <c r="R24" s="51">
        <v>0.52</v>
      </c>
      <c r="S24" s="51">
        <v>0.51</v>
      </c>
      <c r="T24" s="50">
        <v>0.51</v>
      </c>
      <c r="U24" s="51">
        <v>0.51</v>
      </c>
      <c r="V24" s="51">
        <v>0.54</v>
      </c>
      <c r="W24" s="51">
        <v>0.56000000000000005</v>
      </c>
      <c r="X24" s="50">
        <v>0.51</v>
      </c>
      <c r="Y24" s="51">
        <v>0.56999999999999995</v>
      </c>
      <c r="Z24" s="50">
        <v>0.48</v>
      </c>
      <c r="AA24" s="52">
        <v>0.57999999999999996</v>
      </c>
    </row>
    <row r="25" spans="1:27" s="93" customFormat="1" ht="21" customHeight="1" x14ac:dyDescent="0.35">
      <c r="A25" s="65"/>
      <c r="B25" s="226" t="s">
        <v>412</v>
      </c>
      <c r="C25" s="63">
        <v>11768</v>
      </c>
      <c r="D25" s="70">
        <v>5608</v>
      </c>
      <c r="E25" s="65">
        <v>6112</v>
      </c>
      <c r="F25" s="71">
        <v>1190</v>
      </c>
      <c r="G25" s="72">
        <v>2577</v>
      </c>
      <c r="H25" s="73">
        <v>3112</v>
      </c>
      <c r="I25" s="65">
        <v>4890</v>
      </c>
      <c r="J25" s="71">
        <v>2542</v>
      </c>
      <c r="K25" s="73">
        <v>5058</v>
      </c>
      <c r="L25" s="65">
        <v>3061</v>
      </c>
      <c r="M25" s="71">
        <v>1094</v>
      </c>
      <c r="N25" s="72">
        <v>5341</v>
      </c>
      <c r="O25" s="73">
        <v>1239</v>
      </c>
      <c r="P25" s="65">
        <v>3938</v>
      </c>
      <c r="Q25" s="71">
        <v>4716</v>
      </c>
      <c r="R25" s="73">
        <v>4049</v>
      </c>
      <c r="S25" s="65">
        <v>2967</v>
      </c>
      <c r="T25" s="71">
        <v>3047</v>
      </c>
      <c r="U25" s="72">
        <v>4567</v>
      </c>
      <c r="V25" s="73">
        <v>1668</v>
      </c>
      <c r="W25" s="65">
        <v>1065</v>
      </c>
      <c r="X25" s="70">
        <v>8458</v>
      </c>
      <c r="Y25" s="65">
        <v>2997</v>
      </c>
      <c r="Z25" s="71">
        <v>5734</v>
      </c>
      <c r="AA25" s="74">
        <v>5355</v>
      </c>
    </row>
    <row r="26" spans="1:27" ht="24" customHeight="1" thickBot="1" x14ac:dyDescent="0.4">
      <c r="B26" s="227"/>
      <c r="C26" s="59">
        <v>0.42999999999999994</v>
      </c>
      <c r="D26" s="60">
        <v>0.42999999999999994</v>
      </c>
      <c r="E26" s="61">
        <v>0.43000000000000005</v>
      </c>
      <c r="F26" s="60">
        <v>0.33999999999999997</v>
      </c>
      <c r="G26" s="61">
        <v>0.40999999999999992</v>
      </c>
      <c r="H26" s="61">
        <v>0.44999999999999996</v>
      </c>
      <c r="I26" s="61">
        <v>0.45999999999999996</v>
      </c>
      <c r="J26" s="60">
        <v>0.41999999999999993</v>
      </c>
      <c r="K26" s="61">
        <v>0.45999999999999996</v>
      </c>
      <c r="L26" s="61">
        <v>0.39</v>
      </c>
      <c r="M26" s="60">
        <v>0.39</v>
      </c>
      <c r="N26" s="61">
        <v>0.40999999999999992</v>
      </c>
      <c r="O26" s="61">
        <v>0.44999999999999996</v>
      </c>
      <c r="P26" s="61">
        <v>0.45999999999999996</v>
      </c>
      <c r="Q26" s="60">
        <v>0.42999999999999994</v>
      </c>
      <c r="R26" s="61">
        <v>0.42999999999999994</v>
      </c>
      <c r="S26" s="61">
        <v>0.42999999999999994</v>
      </c>
      <c r="T26" s="60">
        <v>0.43999999999999995</v>
      </c>
      <c r="U26" s="61">
        <v>0.44999999999999996</v>
      </c>
      <c r="V26" s="61">
        <v>0.41999999999999993</v>
      </c>
      <c r="W26" s="61">
        <v>0.3899999999999999</v>
      </c>
      <c r="X26" s="60">
        <v>0.45999999999999996</v>
      </c>
      <c r="Y26" s="61">
        <v>0.4</v>
      </c>
      <c r="Z26" s="60">
        <v>0.49</v>
      </c>
      <c r="AA26" s="62">
        <v>0.38</v>
      </c>
    </row>
    <row r="27" spans="1:27" x14ac:dyDescent="0.35"/>
    <row r="28" spans="1:27" ht="24" customHeight="1" x14ac:dyDescent="0.35"/>
    <row r="29" spans="1:27" x14ac:dyDescent="0.35">
      <c r="B29" s="1"/>
    </row>
    <row r="30" spans="1:27" ht="24" customHeight="1" x14ac:dyDescent="0.35"/>
  </sheetData>
  <mergeCells count="15">
    <mergeCell ref="B25:B26"/>
    <mergeCell ref="B15:B16"/>
    <mergeCell ref="B17:B18"/>
    <mergeCell ref="B19:B20"/>
    <mergeCell ref="B21:B22"/>
    <mergeCell ref="B23:B24"/>
    <mergeCell ref="T9:W9"/>
    <mergeCell ref="X9:Y9"/>
    <mergeCell ref="Z9:AA9"/>
    <mergeCell ref="B13:B14"/>
    <mergeCell ref="D9:E9"/>
    <mergeCell ref="F9:I9"/>
    <mergeCell ref="J9:L9"/>
    <mergeCell ref="M9:P9"/>
    <mergeCell ref="Q9:S9"/>
  </mergeCells>
  <hyperlinks>
    <hyperlink ref="B1" location="'Table of Contents'!A1" display="Home" xr:uid="{986192F0-1702-084C-BFEB-3D23004E895D}"/>
  </hyperlinks>
  <pageMargins left="0.7" right="0.7" top="0.75" bottom="0.75" header="0.511811023622047" footer="0.511811023622047"/>
  <pageSetup paperSize="9" orientation="portrait" useFirstPageNumber="1"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5"/>
  <dimension ref="A1:AA29"/>
  <sheetViews>
    <sheetView showGridLines="0" zoomScale="60" zoomScaleNormal="60" workbookViewId="0"/>
  </sheetViews>
  <sheetFormatPr defaultColWidth="20.6328125" defaultRowHeight="19" customHeight="1" x14ac:dyDescent="0.35"/>
  <cols>
    <col min="1" max="1" width="8.81640625" style="1" customWidth="1"/>
    <col min="2" max="2" width="100.6328125" style="3" customWidth="1"/>
    <col min="3" max="3" width="20.6328125" style="2"/>
    <col min="4" max="27" width="20.6328125" style="1"/>
    <col min="28" max="16384" width="20.6328125" style="87"/>
  </cols>
  <sheetData>
    <row r="1" spans="1:27" x14ac:dyDescent="0.35">
      <c r="B1" s="37" t="s">
        <v>0</v>
      </c>
    </row>
    <row r="2" spans="1:27" x14ac:dyDescent="0.35">
      <c r="B2" s="3" t="s">
        <v>442</v>
      </c>
    </row>
    <row r="3" spans="1:27" s="88" customFormat="1" x14ac:dyDescent="0.35">
      <c r="A3" s="2"/>
      <c r="B3" s="3" t="s">
        <v>1</v>
      </c>
      <c r="C3" s="2"/>
      <c r="D3" s="2"/>
      <c r="E3" s="2"/>
      <c r="F3" s="2"/>
      <c r="G3" s="2"/>
      <c r="H3" s="2"/>
      <c r="I3" s="2"/>
      <c r="J3" s="2"/>
      <c r="K3" s="2"/>
      <c r="L3" s="2"/>
      <c r="M3" s="2"/>
      <c r="N3" s="2"/>
      <c r="O3" s="2"/>
      <c r="P3" s="2"/>
      <c r="Q3" s="2"/>
      <c r="R3" s="2"/>
      <c r="S3" s="2"/>
      <c r="T3" s="2"/>
      <c r="U3" s="2"/>
      <c r="V3" s="2"/>
      <c r="W3" s="2"/>
      <c r="X3" s="2"/>
      <c r="Y3" s="2"/>
      <c r="Z3" s="2"/>
      <c r="AA3" s="2"/>
    </row>
    <row r="4" spans="1:27" x14ac:dyDescent="0.35">
      <c r="B4" s="3" t="s">
        <v>2</v>
      </c>
    </row>
    <row r="6" spans="1:27" s="88" customFormat="1" ht="19" customHeight="1" x14ac:dyDescent="0.35">
      <c r="A6" s="2"/>
      <c r="B6" s="28" t="s">
        <v>62</v>
      </c>
      <c r="C6" s="2"/>
      <c r="D6" s="2"/>
      <c r="E6" s="2"/>
      <c r="F6" s="2"/>
      <c r="G6" s="2"/>
      <c r="H6" s="2"/>
      <c r="I6" s="2"/>
      <c r="J6" s="2"/>
      <c r="K6" s="2"/>
      <c r="L6" s="2"/>
      <c r="M6" s="2"/>
      <c r="N6" s="2"/>
      <c r="O6" s="2"/>
      <c r="P6" s="2"/>
      <c r="Q6" s="2"/>
      <c r="R6" s="2"/>
      <c r="S6" s="2"/>
      <c r="T6" s="2"/>
      <c r="U6" s="2"/>
      <c r="V6" s="2"/>
      <c r="W6" s="2"/>
      <c r="X6" s="2"/>
      <c r="Y6" s="2"/>
      <c r="Z6" s="2"/>
      <c r="AA6" s="2"/>
    </row>
    <row r="7" spans="1:27" ht="19.5" customHeight="1" x14ac:dyDescent="0.35">
      <c r="B7" s="215" t="s">
        <v>415</v>
      </c>
    </row>
    <row r="8" spans="1:27" ht="19" customHeight="1" thickBot="1" x14ac:dyDescent="0.4">
      <c r="A8" s="2"/>
    </row>
    <row r="9" spans="1:27" s="89" customFormat="1" ht="19.5" customHeight="1" x14ac:dyDescent="0.4">
      <c r="A9" s="2"/>
      <c r="B9" s="5"/>
      <c r="C9" s="6" t="s">
        <v>21</v>
      </c>
      <c r="D9" s="221" t="s">
        <v>22</v>
      </c>
      <c r="E9" s="222"/>
      <c r="F9" s="221" t="s">
        <v>23</v>
      </c>
      <c r="G9" s="222"/>
      <c r="H9" s="222"/>
      <c r="I9" s="222"/>
      <c r="J9" s="221" t="s">
        <v>24</v>
      </c>
      <c r="K9" s="222"/>
      <c r="L9" s="222"/>
      <c r="M9" s="221" t="s">
        <v>25</v>
      </c>
      <c r="N9" s="222"/>
      <c r="O9" s="222"/>
      <c r="P9" s="222"/>
      <c r="Q9" s="221" t="s">
        <v>26</v>
      </c>
      <c r="R9" s="222"/>
      <c r="S9" s="222"/>
      <c r="T9" s="221" t="s">
        <v>27</v>
      </c>
      <c r="U9" s="222"/>
      <c r="V9" s="222"/>
      <c r="W9" s="222"/>
      <c r="X9" s="221" t="s">
        <v>28</v>
      </c>
      <c r="Y9" s="222"/>
      <c r="Z9" s="221" t="s">
        <v>29</v>
      </c>
      <c r="AA9" s="223"/>
    </row>
    <row r="10" spans="1:27" s="89" customFormat="1" ht="57" customHeight="1" thickBot="1" x14ac:dyDescent="0.45">
      <c r="A10" s="2"/>
      <c r="B10" s="91"/>
      <c r="C10" s="7" t="e" vm="1">
        <v>#VALUE!</v>
      </c>
      <c r="D10" s="8" t="s">
        <v>30</v>
      </c>
      <c r="E10" s="9" t="s">
        <v>31</v>
      </c>
      <c r="F10" s="10" t="s">
        <v>32</v>
      </c>
      <c r="G10" s="11" t="s">
        <v>33</v>
      </c>
      <c r="H10" s="12" t="s">
        <v>34</v>
      </c>
      <c r="I10" s="9" t="s">
        <v>35</v>
      </c>
      <c r="J10" s="10" t="s">
        <v>36</v>
      </c>
      <c r="K10" s="12" t="s">
        <v>37</v>
      </c>
      <c r="L10" s="9" t="s">
        <v>38</v>
      </c>
      <c r="M10" s="10" t="s">
        <v>39</v>
      </c>
      <c r="N10" s="11" t="s">
        <v>40</v>
      </c>
      <c r="O10" s="12" t="s">
        <v>41</v>
      </c>
      <c r="P10" s="9" t="s">
        <v>42</v>
      </c>
      <c r="Q10" s="10" t="s">
        <v>43</v>
      </c>
      <c r="R10" s="12" t="s">
        <v>44</v>
      </c>
      <c r="S10" s="9" t="s">
        <v>45</v>
      </c>
      <c r="T10" s="34">
        <v>1</v>
      </c>
      <c r="U10" s="35">
        <v>2</v>
      </c>
      <c r="V10" s="36">
        <v>3</v>
      </c>
      <c r="W10" s="9" t="s">
        <v>46</v>
      </c>
      <c r="X10" s="13" t="s">
        <v>409</v>
      </c>
      <c r="Y10" s="9" t="s">
        <v>410</v>
      </c>
      <c r="Z10" s="10" t="s">
        <v>409</v>
      </c>
      <c r="AA10" s="31" t="s">
        <v>410</v>
      </c>
    </row>
    <row r="11" spans="1:27" s="92" customFormat="1" ht="18.75" customHeight="1" x14ac:dyDescent="0.35">
      <c r="A11" s="25"/>
      <c r="B11" s="14" t="s">
        <v>49</v>
      </c>
      <c r="C11" s="26">
        <v>27292</v>
      </c>
      <c r="D11" s="39">
        <v>13488</v>
      </c>
      <c r="E11" s="26">
        <v>13685</v>
      </c>
      <c r="F11" s="40">
        <v>3682</v>
      </c>
      <c r="G11" s="41">
        <v>7667</v>
      </c>
      <c r="H11" s="42">
        <v>7751</v>
      </c>
      <c r="I11" s="26">
        <v>8192</v>
      </c>
      <c r="J11" s="40">
        <v>2780</v>
      </c>
      <c r="K11" s="42">
        <v>9601</v>
      </c>
      <c r="L11" s="26">
        <v>12258</v>
      </c>
      <c r="M11" s="40">
        <v>2997</v>
      </c>
      <c r="N11" s="41">
        <v>14034</v>
      </c>
      <c r="O11" s="42">
        <v>2839</v>
      </c>
      <c r="P11" s="26">
        <v>6900</v>
      </c>
      <c r="Q11" s="40">
        <v>10494</v>
      </c>
      <c r="R11" s="42">
        <v>10245</v>
      </c>
      <c r="S11" s="26">
        <v>6421</v>
      </c>
      <c r="T11" s="40">
        <v>6218</v>
      </c>
      <c r="U11" s="41">
        <v>10287</v>
      </c>
      <c r="V11" s="42">
        <v>4457</v>
      </c>
      <c r="W11" s="26">
        <v>3439</v>
      </c>
      <c r="X11" s="39">
        <v>17539</v>
      </c>
      <c r="Y11" s="26">
        <v>8634</v>
      </c>
      <c r="Z11" s="40">
        <v>11191</v>
      </c>
      <c r="AA11" s="43">
        <v>14524</v>
      </c>
    </row>
    <row r="12" spans="1:27" s="92" customFormat="1" ht="18.75" customHeight="1" thickBot="1" x14ac:dyDescent="0.4">
      <c r="A12" s="26"/>
      <c r="B12" s="15" t="s">
        <v>50</v>
      </c>
      <c r="C12" s="44">
        <v>27292</v>
      </c>
      <c r="D12" s="45">
        <v>13117</v>
      </c>
      <c r="E12" s="46">
        <v>14056</v>
      </c>
      <c r="F12" s="45">
        <v>3535</v>
      </c>
      <c r="G12" s="47">
        <v>6272</v>
      </c>
      <c r="H12" s="47">
        <v>6843</v>
      </c>
      <c r="I12" s="46">
        <v>10643</v>
      </c>
      <c r="J12" s="45">
        <v>5987</v>
      </c>
      <c r="K12" s="47">
        <v>10797</v>
      </c>
      <c r="L12" s="46">
        <v>7855</v>
      </c>
      <c r="M12" s="45">
        <v>2765</v>
      </c>
      <c r="N12" s="47">
        <v>12846</v>
      </c>
      <c r="O12" s="47">
        <v>2724</v>
      </c>
      <c r="P12" s="46">
        <v>8517</v>
      </c>
      <c r="Q12" s="45">
        <v>10940</v>
      </c>
      <c r="R12" s="47">
        <v>9369</v>
      </c>
      <c r="S12" s="46">
        <v>6851</v>
      </c>
      <c r="T12" s="45">
        <v>7012</v>
      </c>
      <c r="U12" s="47">
        <v>10099</v>
      </c>
      <c r="V12" s="47">
        <v>3919</v>
      </c>
      <c r="W12" s="46">
        <v>2709</v>
      </c>
      <c r="X12" s="45">
        <v>18568</v>
      </c>
      <c r="Y12" s="46">
        <v>7508</v>
      </c>
      <c r="Z12" s="45">
        <v>11570</v>
      </c>
      <c r="AA12" s="48">
        <v>13901</v>
      </c>
    </row>
    <row r="13" spans="1:27" s="93" customFormat="1" ht="21" customHeight="1" x14ac:dyDescent="0.35">
      <c r="A13" s="65"/>
      <c r="B13" s="224" t="s">
        <v>63</v>
      </c>
      <c r="C13" s="63">
        <v>8730</v>
      </c>
      <c r="D13" s="64">
        <v>4395</v>
      </c>
      <c r="E13" s="65">
        <v>4305</v>
      </c>
      <c r="F13" s="66">
        <v>949</v>
      </c>
      <c r="G13" s="67">
        <v>1881</v>
      </c>
      <c r="H13" s="68">
        <v>2196</v>
      </c>
      <c r="I13" s="65">
        <v>3704</v>
      </c>
      <c r="J13" s="66">
        <v>1796</v>
      </c>
      <c r="K13" s="68">
        <v>3572</v>
      </c>
      <c r="L13" s="65">
        <v>2648</v>
      </c>
      <c r="M13" s="66">
        <v>934</v>
      </c>
      <c r="N13" s="67">
        <v>4085</v>
      </c>
      <c r="O13" s="68">
        <v>838</v>
      </c>
      <c r="P13" s="65">
        <v>2750</v>
      </c>
      <c r="Q13" s="66">
        <v>3448</v>
      </c>
      <c r="R13" s="68">
        <v>2911</v>
      </c>
      <c r="S13" s="65">
        <v>2346</v>
      </c>
      <c r="T13" s="66">
        <v>2134</v>
      </c>
      <c r="U13" s="67">
        <v>3404</v>
      </c>
      <c r="V13" s="68">
        <v>1353</v>
      </c>
      <c r="W13" s="65">
        <v>855</v>
      </c>
      <c r="X13" s="64">
        <v>7021</v>
      </c>
      <c r="Y13" s="65">
        <v>1563</v>
      </c>
      <c r="Z13" s="66">
        <v>4463</v>
      </c>
      <c r="AA13" s="69">
        <v>3831</v>
      </c>
    </row>
    <row r="14" spans="1:27" ht="24" customHeight="1" x14ac:dyDescent="0.35">
      <c r="B14" s="225"/>
      <c r="C14" s="49">
        <v>0.31988699999999998</v>
      </c>
      <c r="D14" s="50">
        <v>0.33506819999999998</v>
      </c>
      <c r="E14" s="51">
        <v>0.30629319999999999</v>
      </c>
      <c r="F14" s="50">
        <v>0.26858939999999998</v>
      </c>
      <c r="G14" s="51">
        <v>0.29991210000000001</v>
      </c>
      <c r="H14" s="51">
        <v>0.32091120000000001</v>
      </c>
      <c r="I14" s="51">
        <v>0.34803709999999999</v>
      </c>
      <c r="J14" s="50">
        <v>0.29991859999999998</v>
      </c>
      <c r="K14" s="51">
        <v>0.33082820000000002</v>
      </c>
      <c r="L14" s="51">
        <v>0.33708310000000002</v>
      </c>
      <c r="M14" s="50">
        <v>0.33793020000000001</v>
      </c>
      <c r="N14" s="51">
        <v>0.31799810000000001</v>
      </c>
      <c r="O14" s="51">
        <v>0.30756810000000001</v>
      </c>
      <c r="P14" s="51">
        <v>0.32289010000000001</v>
      </c>
      <c r="Q14" s="50">
        <v>0.31520609999999999</v>
      </c>
      <c r="R14" s="51">
        <v>0.31072539999999998</v>
      </c>
      <c r="S14" s="51">
        <v>0.34240340000000002</v>
      </c>
      <c r="T14" s="50">
        <v>0.30425649999999999</v>
      </c>
      <c r="U14" s="51">
        <v>0.33703660000000002</v>
      </c>
      <c r="V14" s="51">
        <v>0.34532079999999998</v>
      </c>
      <c r="W14" s="51">
        <v>0.31580340000000001</v>
      </c>
      <c r="X14" s="50">
        <v>0.37814799999999998</v>
      </c>
      <c r="Y14" s="51">
        <v>0.20816660000000001</v>
      </c>
      <c r="Z14" s="50">
        <v>0.38579340000000001</v>
      </c>
      <c r="AA14" s="52">
        <v>0.2755861</v>
      </c>
    </row>
    <row r="15" spans="1:27" s="93" customFormat="1" ht="21" customHeight="1" x14ac:dyDescent="0.35">
      <c r="A15" s="65"/>
      <c r="B15" s="228" t="s">
        <v>64</v>
      </c>
      <c r="C15" s="63">
        <v>11582</v>
      </c>
      <c r="D15" s="70">
        <v>5659</v>
      </c>
      <c r="E15" s="65">
        <v>5881</v>
      </c>
      <c r="F15" s="71">
        <v>1823</v>
      </c>
      <c r="G15" s="72">
        <v>2927</v>
      </c>
      <c r="H15" s="73">
        <v>2751</v>
      </c>
      <c r="I15" s="65">
        <v>4081</v>
      </c>
      <c r="J15" s="71">
        <v>2605</v>
      </c>
      <c r="K15" s="73">
        <v>4420</v>
      </c>
      <c r="L15" s="65">
        <v>3494</v>
      </c>
      <c r="M15" s="71">
        <v>1184</v>
      </c>
      <c r="N15" s="72">
        <v>5747</v>
      </c>
      <c r="O15" s="73">
        <v>1155</v>
      </c>
      <c r="P15" s="65">
        <v>3352</v>
      </c>
      <c r="Q15" s="71">
        <v>4697</v>
      </c>
      <c r="R15" s="73">
        <v>4156</v>
      </c>
      <c r="S15" s="65">
        <v>2706</v>
      </c>
      <c r="T15" s="71">
        <v>2936</v>
      </c>
      <c r="U15" s="72">
        <v>4189</v>
      </c>
      <c r="V15" s="73">
        <v>1655</v>
      </c>
      <c r="W15" s="65">
        <v>1252</v>
      </c>
      <c r="X15" s="70">
        <v>7506</v>
      </c>
      <c r="Y15" s="65">
        <v>3745</v>
      </c>
      <c r="Z15" s="71">
        <v>4371</v>
      </c>
      <c r="AA15" s="74">
        <v>6761</v>
      </c>
    </row>
    <row r="16" spans="1:27" ht="24" customHeight="1" x14ac:dyDescent="0.35">
      <c r="B16" s="225"/>
      <c r="C16" s="49">
        <v>0.42438769999999998</v>
      </c>
      <c r="D16" s="50">
        <v>0.43143150000000002</v>
      </c>
      <c r="E16" s="51">
        <v>0.41841899999999999</v>
      </c>
      <c r="F16" s="50">
        <v>0.51579220000000003</v>
      </c>
      <c r="G16" s="51">
        <v>0.46665139999999999</v>
      </c>
      <c r="H16" s="51">
        <v>0.40203800000000001</v>
      </c>
      <c r="I16" s="51">
        <v>0.38349339999999998</v>
      </c>
      <c r="J16" s="50">
        <v>0.43515890000000002</v>
      </c>
      <c r="K16" s="51">
        <v>0.4093733</v>
      </c>
      <c r="L16" s="51">
        <v>0.44482440000000001</v>
      </c>
      <c r="M16" s="50">
        <v>0.42825809999999997</v>
      </c>
      <c r="N16" s="51">
        <v>0.44740629999999998</v>
      </c>
      <c r="O16" s="51">
        <v>0.42406559999999999</v>
      </c>
      <c r="P16" s="51">
        <v>0.39354220000000001</v>
      </c>
      <c r="Q16" s="50">
        <v>0.42936780000000002</v>
      </c>
      <c r="R16" s="51">
        <v>0.44362829999999998</v>
      </c>
      <c r="S16" s="51">
        <v>0.39494439999999997</v>
      </c>
      <c r="T16" s="50">
        <v>0.4187401</v>
      </c>
      <c r="U16" s="51">
        <v>0.41481210000000002</v>
      </c>
      <c r="V16" s="51">
        <v>0.42224739999999999</v>
      </c>
      <c r="W16" s="51">
        <v>0.46220430000000001</v>
      </c>
      <c r="X16" s="50">
        <v>0.4042596</v>
      </c>
      <c r="Y16" s="51">
        <v>0.4988399</v>
      </c>
      <c r="Z16" s="50">
        <v>0.37777189999999999</v>
      </c>
      <c r="AA16" s="52">
        <v>0.48640480000000003</v>
      </c>
    </row>
    <row r="17" spans="1:27" s="93" customFormat="1" ht="21" customHeight="1" x14ac:dyDescent="0.35">
      <c r="A17" s="65"/>
      <c r="B17" s="228" t="s">
        <v>65</v>
      </c>
      <c r="C17" s="63">
        <v>3826</v>
      </c>
      <c r="D17" s="70">
        <v>2082</v>
      </c>
      <c r="E17" s="65">
        <v>1724</v>
      </c>
      <c r="F17" s="71">
        <v>396</v>
      </c>
      <c r="G17" s="72">
        <v>832</v>
      </c>
      <c r="H17" s="73">
        <v>1033</v>
      </c>
      <c r="I17" s="65">
        <v>1565</v>
      </c>
      <c r="J17" s="71">
        <v>864</v>
      </c>
      <c r="K17" s="73">
        <v>1597</v>
      </c>
      <c r="L17" s="65">
        <v>1029</v>
      </c>
      <c r="M17" s="71">
        <v>401</v>
      </c>
      <c r="N17" s="72">
        <v>1868</v>
      </c>
      <c r="O17" s="73">
        <v>424</v>
      </c>
      <c r="P17" s="65">
        <v>1067</v>
      </c>
      <c r="Q17" s="71">
        <v>1470</v>
      </c>
      <c r="R17" s="73">
        <v>1328</v>
      </c>
      <c r="S17" s="65">
        <v>1008</v>
      </c>
      <c r="T17" s="71">
        <v>951</v>
      </c>
      <c r="U17" s="72">
        <v>1448</v>
      </c>
      <c r="V17" s="73">
        <v>560</v>
      </c>
      <c r="W17" s="65">
        <v>337</v>
      </c>
      <c r="X17" s="70">
        <v>2183</v>
      </c>
      <c r="Y17" s="65">
        <v>1546</v>
      </c>
      <c r="Z17" s="71">
        <v>1597</v>
      </c>
      <c r="AA17" s="74">
        <v>2009</v>
      </c>
    </row>
    <row r="18" spans="1:27" ht="24" customHeight="1" x14ac:dyDescent="0.35">
      <c r="B18" s="225"/>
      <c r="C18" s="49">
        <v>0.14019880000000001</v>
      </c>
      <c r="D18" s="50">
        <v>0.15868570000000001</v>
      </c>
      <c r="E18" s="51">
        <v>0.1226391</v>
      </c>
      <c r="F18" s="50">
        <v>0.1119996</v>
      </c>
      <c r="G18" s="51">
        <v>0.1326725</v>
      </c>
      <c r="H18" s="51">
        <v>0.15102160000000001</v>
      </c>
      <c r="I18" s="51">
        <v>0.14704159999999999</v>
      </c>
      <c r="J18" s="50">
        <v>0.14436489999999999</v>
      </c>
      <c r="K18" s="51">
        <v>0.14788899999999999</v>
      </c>
      <c r="L18" s="51">
        <v>0.13102910000000001</v>
      </c>
      <c r="M18" s="50">
        <v>0.14497389999999999</v>
      </c>
      <c r="N18" s="51">
        <v>0.1454135</v>
      </c>
      <c r="O18" s="51">
        <v>0.15548970000000001</v>
      </c>
      <c r="P18" s="51">
        <v>0.1252799</v>
      </c>
      <c r="Q18" s="50">
        <v>0.1343937</v>
      </c>
      <c r="R18" s="51">
        <v>0.1417889</v>
      </c>
      <c r="S18" s="51">
        <v>0.1470757</v>
      </c>
      <c r="T18" s="50">
        <v>0.13563549999999999</v>
      </c>
      <c r="U18" s="51">
        <v>0.1433709</v>
      </c>
      <c r="V18" s="51">
        <v>0.14283580000000001</v>
      </c>
      <c r="W18" s="51">
        <v>0.1245132</v>
      </c>
      <c r="X18" s="50">
        <v>0.11755980000000001</v>
      </c>
      <c r="Y18" s="51">
        <v>0.20593429999999999</v>
      </c>
      <c r="Z18" s="50">
        <v>0.13807220000000001</v>
      </c>
      <c r="AA18" s="52">
        <v>0.1445458</v>
      </c>
    </row>
    <row r="19" spans="1:27" s="93" customFormat="1" ht="21" customHeight="1" x14ac:dyDescent="0.35">
      <c r="A19" s="65"/>
      <c r="B19" s="232" t="s">
        <v>55</v>
      </c>
      <c r="C19" s="63">
        <v>3153</v>
      </c>
      <c r="D19" s="70">
        <v>981</v>
      </c>
      <c r="E19" s="65">
        <v>2146</v>
      </c>
      <c r="F19" s="71">
        <v>366</v>
      </c>
      <c r="G19" s="72">
        <v>632</v>
      </c>
      <c r="H19" s="73">
        <v>862</v>
      </c>
      <c r="I19" s="65">
        <v>1292</v>
      </c>
      <c r="J19" s="71">
        <v>722</v>
      </c>
      <c r="K19" s="73">
        <v>1208</v>
      </c>
      <c r="L19" s="65">
        <v>684</v>
      </c>
      <c r="M19" s="71">
        <v>246</v>
      </c>
      <c r="N19" s="72">
        <v>1146</v>
      </c>
      <c r="O19" s="73">
        <v>307</v>
      </c>
      <c r="P19" s="65">
        <v>1348</v>
      </c>
      <c r="Q19" s="71">
        <v>1324</v>
      </c>
      <c r="R19" s="73">
        <v>973</v>
      </c>
      <c r="S19" s="65">
        <v>792</v>
      </c>
      <c r="T19" s="71">
        <v>991</v>
      </c>
      <c r="U19" s="72">
        <v>1058</v>
      </c>
      <c r="V19" s="73">
        <v>351</v>
      </c>
      <c r="W19" s="65">
        <v>264</v>
      </c>
      <c r="X19" s="70">
        <v>1857</v>
      </c>
      <c r="Y19" s="65">
        <v>654</v>
      </c>
      <c r="Z19" s="71">
        <v>1138</v>
      </c>
      <c r="AA19" s="74">
        <v>1299</v>
      </c>
    </row>
    <row r="20" spans="1:27" ht="24" customHeight="1" thickBot="1" x14ac:dyDescent="0.4">
      <c r="B20" s="233"/>
      <c r="C20" s="59">
        <v>0.1155265</v>
      </c>
      <c r="D20" s="60">
        <v>7.4814500000000006E-2</v>
      </c>
      <c r="E20" s="61">
        <v>0.1526487</v>
      </c>
      <c r="F20" s="60">
        <v>0.1036189</v>
      </c>
      <c r="G20" s="61">
        <v>0.10076400000000001</v>
      </c>
      <c r="H20" s="61">
        <v>0.12602920000000001</v>
      </c>
      <c r="I20" s="61">
        <v>0.12142790000000001</v>
      </c>
      <c r="J20" s="60">
        <v>0.1205576</v>
      </c>
      <c r="K20" s="61">
        <v>0.1119095</v>
      </c>
      <c r="L20" s="61">
        <v>8.7063299999999996E-2</v>
      </c>
      <c r="M20" s="60">
        <v>8.8837799999999995E-2</v>
      </c>
      <c r="N20" s="61">
        <v>8.9181999999999997E-2</v>
      </c>
      <c r="O20" s="61">
        <v>0.1128765</v>
      </c>
      <c r="P20" s="61">
        <v>0.15828790000000001</v>
      </c>
      <c r="Q20" s="60">
        <v>0.1210324</v>
      </c>
      <c r="R20" s="61">
        <v>0.1038573</v>
      </c>
      <c r="S20" s="61">
        <v>0.1155765</v>
      </c>
      <c r="T20" s="60">
        <v>0.14136789999999999</v>
      </c>
      <c r="U20" s="61">
        <v>0.1047804</v>
      </c>
      <c r="V20" s="61">
        <v>8.9595999999999995E-2</v>
      </c>
      <c r="W20" s="61">
        <v>9.7478999999999996E-2</v>
      </c>
      <c r="X20" s="60">
        <v>0.1000326</v>
      </c>
      <c r="Y20" s="61">
        <v>8.7059200000000003E-2</v>
      </c>
      <c r="Z20" s="60">
        <v>9.8362400000000003E-2</v>
      </c>
      <c r="AA20" s="62">
        <v>9.3463400000000002E-2</v>
      </c>
    </row>
    <row r="21" spans="1:27" s="93" customFormat="1" ht="21" customHeight="1" x14ac:dyDescent="0.35">
      <c r="A21" s="65"/>
      <c r="B21" s="3"/>
      <c r="C21" s="63"/>
      <c r="D21" s="65"/>
      <c r="E21" s="65"/>
      <c r="F21" s="65"/>
      <c r="G21" s="65"/>
      <c r="H21" s="65"/>
      <c r="I21" s="65"/>
      <c r="J21" s="65"/>
      <c r="K21" s="65"/>
      <c r="L21" s="65"/>
      <c r="M21" s="65"/>
      <c r="N21" s="65"/>
      <c r="O21" s="65"/>
      <c r="P21" s="65"/>
      <c r="Q21" s="65"/>
      <c r="R21" s="65"/>
      <c r="S21" s="65"/>
      <c r="T21" s="65"/>
      <c r="U21" s="65"/>
      <c r="V21" s="65"/>
      <c r="W21" s="65"/>
      <c r="X21" s="65"/>
      <c r="Y21" s="65"/>
      <c r="Z21" s="65"/>
      <c r="AA21" s="65"/>
    </row>
    <row r="22" spans="1:27" ht="24" customHeight="1" x14ac:dyDescent="0.35"/>
    <row r="23" spans="1:27" s="93" customFormat="1" ht="21" customHeight="1" x14ac:dyDescent="0.35">
      <c r="A23" s="65"/>
      <c r="B23" s="3"/>
      <c r="C23" s="63"/>
      <c r="D23" s="65"/>
      <c r="E23" s="65"/>
      <c r="F23" s="65"/>
      <c r="G23" s="65"/>
      <c r="H23" s="65"/>
      <c r="I23" s="65"/>
      <c r="J23" s="65"/>
      <c r="K23" s="65"/>
      <c r="L23" s="65"/>
      <c r="M23" s="65"/>
      <c r="N23" s="65"/>
      <c r="O23" s="65"/>
      <c r="P23" s="65"/>
      <c r="Q23" s="65"/>
      <c r="R23" s="65"/>
      <c r="S23" s="65"/>
      <c r="T23" s="65"/>
      <c r="U23" s="65"/>
      <c r="V23" s="65"/>
      <c r="W23" s="65"/>
      <c r="X23" s="65"/>
      <c r="Y23" s="65"/>
      <c r="Z23" s="65"/>
      <c r="AA23" s="65"/>
    </row>
    <row r="24" spans="1:27" ht="24" customHeight="1" x14ac:dyDescent="0.35"/>
    <row r="25" spans="1:27" s="93" customFormat="1" ht="21" customHeight="1" x14ac:dyDescent="0.35">
      <c r="A25" s="65"/>
      <c r="B25" s="3"/>
      <c r="C25" s="63"/>
      <c r="D25" s="65"/>
      <c r="E25" s="65"/>
      <c r="F25" s="65"/>
      <c r="G25" s="65"/>
      <c r="H25" s="65"/>
      <c r="I25" s="65"/>
      <c r="J25" s="65"/>
      <c r="K25" s="65"/>
      <c r="L25" s="65"/>
      <c r="M25" s="65"/>
      <c r="N25" s="65"/>
      <c r="O25" s="65"/>
      <c r="P25" s="65"/>
      <c r="Q25" s="65"/>
      <c r="R25" s="65"/>
      <c r="S25" s="65"/>
      <c r="T25" s="65"/>
      <c r="U25" s="65"/>
      <c r="V25" s="65"/>
      <c r="W25" s="65"/>
      <c r="X25" s="65"/>
      <c r="Y25" s="65"/>
      <c r="Z25" s="65"/>
      <c r="AA25" s="65"/>
    </row>
    <row r="26" spans="1:27" ht="24" customHeight="1" x14ac:dyDescent="0.35"/>
    <row r="29" spans="1:27" ht="19" customHeight="1" x14ac:dyDescent="0.35">
      <c r="B29" s="1"/>
    </row>
  </sheetData>
  <mergeCells count="12">
    <mergeCell ref="B15:B16"/>
    <mergeCell ref="B17:B18"/>
    <mergeCell ref="B19:B20"/>
    <mergeCell ref="T9:W9"/>
    <mergeCell ref="X9:Y9"/>
    <mergeCell ref="Z9:AA9"/>
    <mergeCell ref="B13:B14"/>
    <mergeCell ref="D9:E9"/>
    <mergeCell ref="F9:I9"/>
    <mergeCell ref="J9:L9"/>
    <mergeCell ref="M9:P9"/>
    <mergeCell ref="Q9:S9"/>
  </mergeCells>
  <hyperlinks>
    <hyperlink ref="B1" location="'Table of Contents'!A1" display="Home" xr:uid="{240F1534-0A64-0742-BC46-5E00BCE1B139}"/>
  </hyperlinks>
  <pageMargins left="0.7" right="0.7" top="0.75" bottom="0.75" header="0.511811023622047" footer="0.511811023622047"/>
  <pageSetup paperSize="9" orientation="portrait" useFirstPageNumber="1"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6"/>
  <dimension ref="A1:AA29"/>
  <sheetViews>
    <sheetView showGridLines="0" zoomScale="60" zoomScaleNormal="60" workbookViewId="0"/>
  </sheetViews>
  <sheetFormatPr defaultColWidth="20.6328125" defaultRowHeight="19" customHeight="1" x14ac:dyDescent="0.35"/>
  <cols>
    <col min="1" max="1" width="8.81640625" style="1" customWidth="1"/>
    <col min="2" max="2" width="100.6328125" style="3" customWidth="1"/>
    <col min="3" max="3" width="20.6328125" style="2"/>
    <col min="4" max="27" width="20.6328125" style="1"/>
    <col min="28" max="16384" width="20.6328125" style="87"/>
  </cols>
  <sheetData>
    <row r="1" spans="1:27" x14ac:dyDescent="0.35">
      <c r="B1" s="37" t="s">
        <v>0</v>
      </c>
    </row>
    <row r="2" spans="1:27" x14ac:dyDescent="0.35">
      <c r="B2" s="3" t="s">
        <v>442</v>
      </c>
    </row>
    <row r="3" spans="1:27" s="88" customFormat="1" x14ac:dyDescent="0.35">
      <c r="A3" s="2"/>
      <c r="B3" s="3" t="s">
        <v>1</v>
      </c>
      <c r="C3" s="2"/>
      <c r="D3" s="2"/>
      <c r="E3" s="2"/>
      <c r="F3" s="2"/>
      <c r="G3" s="2"/>
      <c r="H3" s="2"/>
      <c r="I3" s="2"/>
      <c r="J3" s="2"/>
      <c r="K3" s="2"/>
      <c r="L3" s="2"/>
      <c r="M3" s="2"/>
      <c r="N3" s="2"/>
      <c r="O3" s="2"/>
      <c r="P3" s="2"/>
      <c r="Q3" s="2"/>
      <c r="R3" s="2"/>
      <c r="S3" s="2"/>
      <c r="T3" s="2"/>
      <c r="U3" s="2"/>
      <c r="V3" s="2"/>
      <c r="W3" s="2"/>
      <c r="X3" s="2"/>
      <c r="Y3" s="2"/>
      <c r="Z3" s="2"/>
      <c r="AA3" s="2"/>
    </row>
    <row r="4" spans="1:27" x14ac:dyDescent="0.35">
      <c r="B4" s="3" t="s">
        <v>2</v>
      </c>
    </row>
    <row r="6" spans="1:27" s="88" customFormat="1" ht="19" customHeight="1" x14ac:dyDescent="0.35">
      <c r="A6" s="2"/>
      <c r="B6" s="28" t="s">
        <v>66</v>
      </c>
      <c r="C6" s="2"/>
      <c r="D6" s="2"/>
      <c r="E6" s="2"/>
      <c r="F6" s="2"/>
      <c r="G6" s="2"/>
      <c r="H6" s="2"/>
      <c r="I6" s="2"/>
      <c r="J6" s="2"/>
      <c r="K6" s="2"/>
      <c r="L6" s="2"/>
      <c r="M6" s="2"/>
      <c r="N6" s="2"/>
      <c r="O6" s="2"/>
      <c r="P6" s="2"/>
      <c r="Q6" s="2"/>
      <c r="R6" s="2"/>
      <c r="S6" s="2"/>
      <c r="T6" s="2"/>
      <c r="U6" s="2"/>
      <c r="V6" s="2"/>
      <c r="W6" s="2"/>
      <c r="X6" s="2"/>
      <c r="Y6" s="2"/>
      <c r="Z6" s="2"/>
      <c r="AA6" s="2"/>
    </row>
    <row r="7" spans="1:27" ht="19.5" customHeight="1" x14ac:dyDescent="0.35">
      <c r="B7" s="215" t="s">
        <v>415</v>
      </c>
    </row>
    <row r="8" spans="1:27" ht="19" customHeight="1" thickBot="1" x14ac:dyDescent="0.4">
      <c r="A8" s="2"/>
    </row>
    <row r="9" spans="1:27" s="89" customFormat="1" ht="19.5" customHeight="1" x14ac:dyDescent="0.4">
      <c r="A9" s="2"/>
      <c r="B9" s="5"/>
      <c r="C9" s="6" t="s">
        <v>21</v>
      </c>
      <c r="D9" s="221" t="s">
        <v>22</v>
      </c>
      <c r="E9" s="222"/>
      <c r="F9" s="221" t="s">
        <v>23</v>
      </c>
      <c r="G9" s="222"/>
      <c r="H9" s="222"/>
      <c r="I9" s="222"/>
      <c r="J9" s="221" t="s">
        <v>24</v>
      </c>
      <c r="K9" s="222"/>
      <c r="L9" s="222"/>
      <c r="M9" s="221" t="s">
        <v>25</v>
      </c>
      <c r="N9" s="222"/>
      <c r="O9" s="222"/>
      <c r="P9" s="222"/>
      <c r="Q9" s="221" t="s">
        <v>26</v>
      </c>
      <c r="R9" s="222"/>
      <c r="S9" s="222"/>
      <c r="T9" s="221" t="s">
        <v>27</v>
      </c>
      <c r="U9" s="222"/>
      <c r="V9" s="222"/>
      <c r="W9" s="222"/>
      <c r="X9" s="221" t="s">
        <v>28</v>
      </c>
      <c r="Y9" s="222"/>
      <c r="Z9" s="221" t="s">
        <v>29</v>
      </c>
      <c r="AA9" s="223"/>
    </row>
    <row r="10" spans="1:27" s="89" customFormat="1" ht="57" customHeight="1" thickBot="1" x14ac:dyDescent="0.45">
      <c r="A10" s="2"/>
      <c r="B10" s="91"/>
      <c r="C10" s="7" t="e" vm="1">
        <v>#VALUE!</v>
      </c>
      <c r="D10" s="8" t="s">
        <v>30</v>
      </c>
      <c r="E10" s="9" t="s">
        <v>31</v>
      </c>
      <c r="F10" s="10" t="s">
        <v>32</v>
      </c>
      <c r="G10" s="11" t="s">
        <v>33</v>
      </c>
      <c r="H10" s="12" t="s">
        <v>34</v>
      </c>
      <c r="I10" s="9" t="s">
        <v>35</v>
      </c>
      <c r="J10" s="10" t="s">
        <v>36</v>
      </c>
      <c r="K10" s="12" t="s">
        <v>37</v>
      </c>
      <c r="L10" s="9" t="s">
        <v>38</v>
      </c>
      <c r="M10" s="10" t="s">
        <v>39</v>
      </c>
      <c r="N10" s="11" t="s">
        <v>40</v>
      </c>
      <c r="O10" s="12" t="s">
        <v>41</v>
      </c>
      <c r="P10" s="9" t="s">
        <v>42</v>
      </c>
      <c r="Q10" s="10" t="s">
        <v>43</v>
      </c>
      <c r="R10" s="12" t="s">
        <v>44</v>
      </c>
      <c r="S10" s="9" t="s">
        <v>45</v>
      </c>
      <c r="T10" s="34">
        <v>1</v>
      </c>
      <c r="U10" s="35">
        <v>2</v>
      </c>
      <c r="V10" s="36">
        <v>3</v>
      </c>
      <c r="W10" s="9" t="s">
        <v>46</v>
      </c>
      <c r="X10" s="13" t="s">
        <v>409</v>
      </c>
      <c r="Y10" s="9" t="s">
        <v>410</v>
      </c>
      <c r="Z10" s="10" t="s">
        <v>409</v>
      </c>
      <c r="AA10" s="31" t="s">
        <v>410</v>
      </c>
    </row>
    <row r="11" spans="1:27" s="92" customFormat="1" ht="18.75" customHeight="1" x14ac:dyDescent="0.35">
      <c r="A11" s="25"/>
      <c r="B11" s="14" t="s">
        <v>49</v>
      </c>
      <c r="C11" s="26">
        <v>27292</v>
      </c>
      <c r="D11" s="39">
        <v>13488</v>
      </c>
      <c r="E11" s="26">
        <v>13685</v>
      </c>
      <c r="F11" s="40">
        <v>3682</v>
      </c>
      <c r="G11" s="41">
        <v>7667</v>
      </c>
      <c r="H11" s="42">
        <v>7751</v>
      </c>
      <c r="I11" s="26">
        <v>8192</v>
      </c>
      <c r="J11" s="40">
        <v>2780</v>
      </c>
      <c r="K11" s="42">
        <v>9601</v>
      </c>
      <c r="L11" s="26">
        <v>12258</v>
      </c>
      <c r="M11" s="40">
        <v>2997</v>
      </c>
      <c r="N11" s="41">
        <v>14034</v>
      </c>
      <c r="O11" s="42">
        <v>2839</v>
      </c>
      <c r="P11" s="26">
        <v>6900</v>
      </c>
      <c r="Q11" s="40">
        <v>10494</v>
      </c>
      <c r="R11" s="42">
        <v>10245</v>
      </c>
      <c r="S11" s="26">
        <v>6421</v>
      </c>
      <c r="T11" s="40">
        <v>6218</v>
      </c>
      <c r="U11" s="41">
        <v>10287</v>
      </c>
      <c r="V11" s="42">
        <v>4457</v>
      </c>
      <c r="W11" s="26">
        <v>3439</v>
      </c>
      <c r="X11" s="39">
        <v>17539</v>
      </c>
      <c r="Y11" s="26">
        <v>8634</v>
      </c>
      <c r="Z11" s="40">
        <v>11191</v>
      </c>
      <c r="AA11" s="43">
        <v>14524</v>
      </c>
    </row>
    <row r="12" spans="1:27" s="92" customFormat="1" ht="18.75" customHeight="1" thickBot="1" x14ac:dyDescent="0.4">
      <c r="A12" s="26"/>
      <c r="B12" s="15" t="s">
        <v>50</v>
      </c>
      <c r="C12" s="44">
        <v>27292</v>
      </c>
      <c r="D12" s="45">
        <v>13117</v>
      </c>
      <c r="E12" s="46">
        <v>14056</v>
      </c>
      <c r="F12" s="45">
        <v>3535</v>
      </c>
      <c r="G12" s="47">
        <v>6272</v>
      </c>
      <c r="H12" s="47">
        <v>6843</v>
      </c>
      <c r="I12" s="46">
        <v>10643</v>
      </c>
      <c r="J12" s="45">
        <v>5987</v>
      </c>
      <c r="K12" s="47">
        <v>10797</v>
      </c>
      <c r="L12" s="46">
        <v>7855</v>
      </c>
      <c r="M12" s="45">
        <v>2765</v>
      </c>
      <c r="N12" s="47">
        <v>12846</v>
      </c>
      <c r="O12" s="47">
        <v>2724</v>
      </c>
      <c r="P12" s="46">
        <v>8517</v>
      </c>
      <c r="Q12" s="45">
        <v>10940</v>
      </c>
      <c r="R12" s="47">
        <v>9369</v>
      </c>
      <c r="S12" s="46">
        <v>6851</v>
      </c>
      <c r="T12" s="45">
        <v>7012</v>
      </c>
      <c r="U12" s="47">
        <v>10099</v>
      </c>
      <c r="V12" s="47">
        <v>3919</v>
      </c>
      <c r="W12" s="46">
        <v>2709</v>
      </c>
      <c r="X12" s="45">
        <v>18568</v>
      </c>
      <c r="Y12" s="46">
        <v>7508</v>
      </c>
      <c r="Z12" s="45">
        <v>11570</v>
      </c>
      <c r="AA12" s="48">
        <v>13901</v>
      </c>
    </row>
    <row r="13" spans="1:27" s="93" customFormat="1" ht="21" customHeight="1" x14ac:dyDescent="0.35">
      <c r="A13" s="65"/>
      <c r="B13" s="224" t="s">
        <v>63</v>
      </c>
      <c r="C13" s="63">
        <v>9382</v>
      </c>
      <c r="D13" s="64">
        <v>4402</v>
      </c>
      <c r="E13" s="65">
        <v>4950</v>
      </c>
      <c r="F13" s="66">
        <v>1038</v>
      </c>
      <c r="G13" s="67">
        <v>2121</v>
      </c>
      <c r="H13" s="68">
        <v>2488</v>
      </c>
      <c r="I13" s="65">
        <v>3735</v>
      </c>
      <c r="J13" s="66">
        <v>1803</v>
      </c>
      <c r="K13" s="68">
        <v>3980</v>
      </c>
      <c r="L13" s="65">
        <v>2845</v>
      </c>
      <c r="M13" s="66">
        <v>974</v>
      </c>
      <c r="N13" s="67">
        <v>4489</v>
      </c>
      <c r="O13" s="68">
        <v>847</v>
      </c>
      <c r="P13" s="65">
        <v>2956</v>
      </c>
      <c r="Q13" s="66">
        <v>3761</v>
      </c>
      <c r="R13" s="68">
        <v>3159</v>
      </c>
      <c r="S13" s="65">
        <v>2441</v>
      </c>
      <c r="T13" s="66">
        <v>2224</v>
      </c>
      <c r="U13" s="67">
        <v>3626</v>
      </c>
      <c r="V13" s="68">
        <v>1506</v>
      </c>
      <c r="W13" s="65">
        <v>988</v>
      </c>
      <c r="X13" s="64">
        <v>7451</v>
      </c>
      <c r="Y13" s="65">
        <v>1722</v>
      </c>
      <c r="Z13" s="66">
        <v>4670</v>
      </c>
      <c r="AA13" s="69">
        <v>4195</v>
      </c>
    </row>
    <row r="14" spans="1:27" ht="24" customHeight="1" x14ac:dyDescent="0.35">
      <c r="B14" s="225"/>
      <c r="C14" s="49">
        <v>0.34</v>
      </c>
      <c r="D14" s="50">
        <v>0.34</v>
      </c>
      <c r="E14" s="51">
        <v>0.35</v>
      </c>
      <c r="F14" s="50">
        <v>0.28999999999999998</v>
      </c>
      <c r="G14" s="51">
        <v>0.34</v>
      </c>
      <c r="H14" s="51">
        <v>0.36</v>
      </c>
      <c r="I14" s="51">
        <v>0.35</v>
      </c>
      <c r="J14" s="50">
        <v>0.3</v>
      </c>
      <c r="K14" s="51">
        <v>0.37</v>
      </c>
      <c r="L14" s="51">
        <v>0.36</v>
      </c>
      <c r="M14" s="50">
        <v>0.35</v>
      </c>
      <c r="N14" s="51">
        <v>0.35</v>
      </c>
      <c r="O14" s="51">
        <v>0.31</v>
      </c>
      <c r="P14" s="51">
        <v>0.35</v>
      </c>
      <c r="Q14" s="50">
        <v>0.34</v>
      </c>
      <c r="R14" s="51">
        <v>0.34</v>
      </c>
      <c r="S14" s="51">
        <v>0.36</v>
      </c>
      <c r="T14" s="50">
        <v>0.32</v>
      </c>
      <c r="U14" s="51">
        <v>0.36</v>
      </c>
      <c r="V14" s="51">
        <v>0.38</v>
      </c>
      <c r="W14" s="51">
        <v>0.36</v>
      </c>
      <c r="X14" s="50">
        <v>0.4</v>
      </c>
      <c r="Y14" s="51">
        <v>0.23</v>
      </c>
      <c r="Z14" s="50">
        <v>0.4</v>
      </c>
      <c r="AA14" s="52">
        <v>0.3</v>
      </c>
    </row>
    <row r="15" spans="1:27" s="93" customFormat="1" ht="21" customHeight="1" x14ac:dyDescent="0.35">
      <c r="A15" s="65"/>
      <c r="B15" s="228" t="s">
        <v>64</v>
      </c>
      <c r="C15" s="63">
        <v>10477</v>
      </c>
      <c r="D15" s="70">
        <v>5260</v>
      </c>
      <c r="E15" s="65">
        <v>5175</v>
      </c>
      <c r="F15" s="71">
        <v>1443</v>
      </c>
      <c r="G15" s="72">
        <v>2486</v>
      </c>
      <c r="H15" s="73">
        <v>2425</v>
      </c>
      <c r="I15" s="65">
        <v>4124</v>
      </c>
      <c r="J15" s="71">
        <v>2410</v>
      </c>
      <c r="K15" s="73">
        <v>3871</v>
      </c>
      <c r="L15" s="65">
        <v>3214</v>
      </c>
      <c r="M15" s="71">
        <v>1049</v>
      </c>
      <c r="N15" s="72">
        <v>5068</v>
      </c>
      <c r="O15" s="73">
        <v>1067</v>
      </c>
      <c r="P15" s="65">
        <v>3161</v>
      </c>
      <c r="Q15" s="71">
        <v>4180</v>
      </c>
      <c r="R15" s="73">
        <v>3736</v>
      </c>
      <c r="S15" s="65">
        <v>2530</v>
      </c>
      <c r="T15" s="71">
        <v>2808</v>
      </c>
      <c r="U15" s="72">
        <v>3853</v>
      </c>
      <c r="V15" s="73">
        <v>1453</v>
      </c>
      <c r="W15" s="65">
        <v>1045</v>
      </c>
      <c r="X15" s="70">
        <v>6785</v>
      </c>
      <c r="Y15" s="65">
        <v>3424</v>
      </c>
      <c r="Z15" s="71">
        <v>4081</v>
      </c>
      <c r="AA15" s="74">
        <v>6023</v>
      </c>
    </row>
    <row r="16" spans="1:27" ht="24" customHeight="1" x14ac:dyDescent="0.35">
      <c r="B16" s="225"/>
      <c r="C16" s="49">
        <v>0.38999999999999996</v>
      </c>
      <c r="D16" s="50">
        <v>0.39999999999999997</v>
      </c>
      <c r="E16" s="51">
        <v>0.37</v>
      </c>
      <c r="F16" s="50">
        <v>0.41</v>
      </c>
      <c r="G16" s="51">
        <v>0.38999999999999996</v>
      </c>
      <c r="H16" s="51">
        <v>0.36</v>
      </c>
      <c r="I16" s="51">
        <v>0.39</v>
      </c>
      <c r="J16" s="50">
        <v>0.39999999999999997</v>
      </c>
      <c r="K16" s="51">
        <v>0.36</v>
      </c>
      <c r="L16" s="51">
        <v>0.41000000000000003</v>
      </c>
      <c r="M16" s="50">
        <v>0.38</v>
      </c>
      <c r="N16" s="51">
        <v>0.39</v>
      </c>
      <c r="O16" s="51">
        <v>0.38999999999999996</v>
      </c>
      <c r="P16" s="51">
        <v>0.37</v>
      </c>
      <c r="Q16" s="50">
        <v>0.38999999999999996</v>
      </c>
      <c r="R16" s="51">
        <v>0.39999999999999997</v>
      </c>
      <c r="S16" s="51">
        <v>0.37</v>
      </c>
      <c r="T16" s="50">
        <v>0.39999999999999997</v>
      </c>
      <c r="U16" s="51">
        <v>0.38</v>
      </c>
      <c r="V16" s="51">
        <v>0.37</v>
      </c>
      <c r="W16" s="51">
        <v>0.39</v>
      </c>
      <c r="X16" s="50">
        <v>0.37</v>
      </c>
      <c r="Y16" s="51">
        <v>0.45999999999999996</v>
      </c>
      <c r="Z16" s="50">
        <v>0.36</v>
      </c>
      <c r="AA16" s="52">
        <v>0.44</v>
      </c>
    </row>
    <row r="17" spans="1:27" s="93" customFormat="1" ht="21" customHeight="1" x14ac:dyDescent="0.35">
      <c r="A17" s="65"/>
      <c r="B17" s="228" t="s">
        <v>65</v>
      </c>
      <c r="C17" s="63">
        <v>4670</v>
      </c>
      <c r="D17" s="70">
        <v>2562</v>
      </c>
      <c r="E17" s="65">
        <v>2085</v>
      </c>
      <c r="F17" s="71">
        <v>674</v>
      </c>
      <c r="G17" s="72">
        <v>1073</v>
      </c>
      <c r="H17" s="73">
        <v>1167</v>
      </c>
      <c r="I17" s="65">
        <v>1757</v>
      </c>
      <c r="J17" s="71">
        <v>1086</v>
      </c>
      <c r="K17" s="73">
        <v>1907</v>
      </c>
      <c r="L17" s="65">
        <v>1261</v>
      </c>
      <c r="M17" s="71">
        <v>539</v>
      </c>
      <c r="N17" s="72">
        <v>2236</v>
      </c>
      <c r="O17" s="73">
        <v>560</v>
      </c>
      <c r="P17" s="65">
        <v>1240</v>
      </c>
      <c r="Q17" s="71">
        <v>1845</v>
      </c>
      <c r="R17" s="73">
        <v>1620</v>
      </c>
      <c r="S17" s="65">
        <v>1189</v>
      </c>
      <c r="T17" s="71">
        <v>1145</v>
      </c>
      <c r="U17" s="72">
        <v>1744</v>
      </c>
      <c r="V17" s="73">
        <v>658</v>
      </c>
      <c r="W17" s="65">
        <v>465</v>
      </c>
      <c r="X17" s="70">
        <v>2732</v>
      </c>
      <c r="Y17" s="65">
        <v>1814</v>
      </c>
      <c r="Z17" s="71">
        <v>1878</v>
      </c>
      <c r="AA17" s="74">
        <v>2548</v>
      </c>
    </row>
    <row r="18" spans="1:27" ht="24" customHeight="1" x14ac:dyDescent="0.35">
      <c r="B18" s="225"/>
      <c r="C18" s="49">
        <v>0.17000000000000004</v>
      </c>
      <c r="D18" s="50">
        <v>0.19000000000000006</v>
      </c>
      <c r="E18" s="51">
        <v>0.15000000000000002</v>
      </c>
      <c r="F18" s="50">
        <v>0.19000000000000006</v>
      </c>
      <c r="G18" s="51">
        <v>0.18000000000000005</v>
      </c>
      <c r="H18" s="51">
        <v>0.17000000000000004</v>
      </c>
      <c r="I18" s="51">
        <v>0.16000000000000003</v>
      </c>
      <c r="J18" s="50">
        <v>0.18000000000000005</v>
      </c>
      <c r="K18" s="51">
        <v>0.17000000000000004</v>
      </c>
      <c r="L18" s="51">
        <v>0.16000000000000003</v>
      </c>
      <c r="M18" s="50">
        <v>0.20000000000000007</v>
      </c>
      <c r="N18" s="51">
        <v>0.18000000000000005</v>
      </c>
      <c r="O18" s="51">
        <v>0.21000000000000008</v>
      </c>
      <c r="P18" s="51">
        <v>0.14000000000000001</v>
      </c>
      <c r="Q18" s="50">
        <v>0.16000000000000003</v>
      </c>
      <c r="R18" s="51">
        <v>0.17000000000000004</v>
      </c>
      <c r="S18" s="51">
        <v>0.17000000000000004</v>
      </c>
      <c r="T18" s="50">
        <v>0.16000000000000003</v>
      </c>
      <c r="U18" s="51">
        <v>0.17000000000000004</v>
      </c>
      <c r="V18" s="51">
        <v>0.17000000000000004</v>
      </c>
      <c r="W18" s="51">
        <v>0.17000000000000004</v>
      </c>
      <c r="X18" s="50">
        <v>0.14000000000000001</v>
      </c>
      <c r="Y18" s="51">
        <v>0.2400000000000001</v>
      </c>
      <c r="Z18" s="50">
        <v>0.16000000000000003</v>
      </c>
      <c r="AA18" s="52">
        <v>0.18000000000000005</v>
      </c>
    </row>
    <row r="19" spans="1:27" s="93" customFormat="1" ht="21" customHeight="1" x14ac:dyDescent="0.35">
      <c r="A19" s="65"/>
      <c r="B19" s="232" t="s">
        <v>55</v>
      </c>
      <c r="C19" s="63">
        <v>2763</v>
      </c>
      <c r="D19" s="70">
        <v>893</v>
      </c>
      <c r="E19" s="65">
        <v>1845</v>
      </c>
      <c r="F19" s="71">
        <v>381</v>
      </c>
      <c r="G19" s="72">
        <v>591</v>
      </c>
      <c r="H19" s="73">
        <v>763</v>
      </c>
      <c r="I19" s="65">
        <v>1027</v>
      </c>
      <c r="J19" s="71">
        <v>689</v>
      </c>
      <c r="K19" s="73">
        <v>1039</v>
      </c>
      <c r="L19" s="65">
        <v>534</v>
      </c>
      <c r="M19" s="71">
        <v>202</v>
      </c>
      <c r="N19" s="72">
        <v>1053</v>
      </c>
      <c r="O19" s="73">
        <v>251</v>
      </c>
      <c r="P19" s="65">
        <v>1160</v>
      </c>
      <c r="Q19" s="71">
        <v>1154</v>
      </c>
      <c r="R19" s="73">
        <v>854</v>
      </c>
      <c r="S19" s="65">
        <v>691</v>
      </c>
      <c r="T19" s="71">
        <v>835</v>
      </c>
      <c r="U19" s="72">
        <v>876</v>
      </c>
      <c r="V19" s="73">
        <v>303</v>
      </c>
      <c r="W19" s="65">
        <v>211</v>
      </c>
      <c r="X19" s="70">
        <v>1601</v>
      </c>
      <c r="Y19" s="65">
        <v>548</v>
      </c>
      <c r="Z19" s="71">
        <v>941</v>
      </c>
      <c r="AA19" s="74">
        <v>1135</v>
      </c>
    </row>
    <row r="20" spans="1:27" ht="24" customHeight="1" thickBot="1" x14ac:dyDescent="0.4">
      <c r="B20" s="233"/>
      <c r="C20" s="59">
        <v>9.9999999999999978E-2</v>
      </c>
      <c r="D20" s="60">
        <v>6.9999999999999951E-2</v>
      </c>
      <c r="E20" s="61">
        <v>0.13</v>
      </c>
      <c r="F20" s="60">
        <v>0.10999999999999999</v>
      </c>
      <c r="G20" s="61">
        <v>8.9999999999999969E-2</v>
      </c>
      <c r="H20" s="61">
        <v>0.10999999999999999</v>
      </c>
      <c r="I20" s="61">
        <v>9.9999999999999978E-2</v>
      </c>
      <c r="J20" s="60">
        <v>0.12</v>
      </c>
      <c r="K20" s="61">
        <v>9.9999999999999978E-2</v>
      </c>
      <c r="L20" s="61">
        <v>6.9999999999999951E-2</v>
      </c>
      <c r="M20" s="60">
        <v>6.9999999999999951E-2</v>
      </c>
      <c r="N20" s="61">
        <v>7.999999999999996E-2</v>
      </c>
      <c r="O20" s="61">
        <v>8.9999999999999969E-2</v>
      </c>
      <c r="P20" s="61">
        <v>0.14000000000000001</v>
      </c>
      <c r="Q20" s="60">
        <v>0.10999999999999999</v>
      </c>
      <c r="R20" s="61">
        <v>8.9999999999999969E-2</v>
      </c>
      <c r="S20" s="61">
        <v>9.9999999999999978E-2</v>
      </c>
      <c r="T20" s="60">
        <v>0.12</v>
      </c>
      <c r="U20" s="61">
        <v>8.9999999999999969E-2</v>
      </c>
      <c r="V20" s="61">
        <v>7.999999999999996E-2</v>
      </c>
      <c r="W20" s="61">
        <v>7.999999999999996E-2</v>
      </c>
      <c r="X20" s="60">
        <v>8.9999999999999969E-2</v>
      </c>
      <c r="Y20" s="61">
        <v>6.9999999999999951E-2</v>
      </c>
      <c r="Z20" s="60">
        <v>7.999999999999996E-2</v>
      </c>
      <c r="AA20" s="62">
        <v>7.999999999999996E-2</v>
      </c>
    </row>
    <row r="21" spans="1:27" s="93" customFormat="1" ht="21" customHeight="1" x14ac:dyDescent="0.35">
      <c r="A21" s="65"/>
      <c r="B21" s="3"/>
      <c r="C21" s="63"/>
      <c r="D21" s="65"/>
      <c r="E21" s="65"/>
      <c r="F21" s="65"/>
      <c r="G21" s="65"/>
      <c r="H21" s="65"/>
      <c r="I21" s="65"/>
      <c r="J21" s="65"/>
      <c r="K21" s="65"/>
      <c r="L21" s="65"/>
      <c r="M21" s="65"/>
      <c r="N21" s="65"/>
      <c r="O21" s="65"/>
      <c r="P21" s="65"/>
      <c r="Q21" s="65"/>
      <c r="R21" s="65"/>
      <c r="S21" s="65"/>
      <c r="T21" s="65"/>
      <c r="U21" s="65"/>
      <c r="V21" s="65"/>
      <c r="W21" s="65"/>
      <c r="X21" s="65"/>
      <c r="Y21" s="65"/>
      <c r="Z21" s="65"/>
      <c r="AA21" s="65"/>
    </row>
    <row r="22" spans="1:27" ht="24" customHeight="1" x14ac:dyDescent="0.35"/>
    <row r="23" spans="1:27" s="93" customFormat="1" ht="21" customHeight="1" x14ac:dyDescent="0.35">
      <c r="A23" s="65"/>
      <c r="B23" s="3"/>
      <c r="C23" s="63"/>
      <c r="D23" s="65"/>
      <c r="E23" s="65"/>
      <c r="F23" s="65"/>
      <c r="G23" s="65"/>
      <c r="H23" s="65"/>
      <c r="I23" s="65"/>
      <c r="J23" s="65"/>
      <c r="K23" s="65"/>
      <c r="L23" s="65"/>
      <c r="M23" s="65"/>
      <c r="N23" s="65"/>
      <c r="O23" s="65"/>
      <c r="P23" s="65"/>
      <c r="Q23" s="65"/>
      <c r="R23" s="65"/>
      <c r="S23" s="65"/>
      <c r="T23" s="65"/>
      <c r="U23" s="65"/>
      <c r="V23" s="65"/>
      <c r="W23" s="65"/>
      <c r="X23" s="65"/>
      <c r="Y23" s="65"/>
      <c r="Z23" s="65"/>
      <c r="AA23" s="65"/>
    </row>
    <row r="24" spans="1:27" ht="24" customHeight="1" x14ac:dyDescent="0.35"/>
    <row r="25" spans="1:27" s="93" customFormat="1" ht="21" customHeight="1" x14ac:dyDescent="0.35">
      <c r="A25" s="65"/>
      <c r="B25" s="3"/>
      <c r="C25" s="63"/>
      <c r="D25" s="65"/>
      <c r="E25" s="65"/>
      <c r="F25" s="65"/>
      <c r="G25" s="65"/>
      <c r="H25" s="65"/>
      <c r="I25" s="65"/>
      <c r="J25" s="65"/>
      <c r="K25" s="65"/>
      <c r="L25" s="65"/>
      <c r="M25" s="65"/>
      <c r="N25" s="65"/>
      <c r="O25" s="65"/>
      <c r="P25" s="65"/>
      <c r="Q25" s="65"/>
      <c r="R25" s="65"/>
      <c r="S25" s="65"/>
      <c r="T25" s="65"/>
      <c r="U25" s="65"/>
      <c r="V25" s="65"/>
      <c r="W25" s="65"/>
      <c r="X25" s="65"/>
      <c r="Y25" s="65"/>
      <c r="Z25" s="65"/>
      <c r="AA25" s="65"/>
    </row>
    <row r="26" spans="1:27" ht="24" customHeight="1" x14ac:dyDescent="0.35"/>
    <row r="27" spans="1:27" x14ac:dyDescent="0.35"/>
    <row r="28" spans="1:27" ht="24" customHeight="1" x14ac:dyDescent="0.35"/>
    <row r="29" spans="1:27" x14ac:dyDescent="0.35">
      <c r="B29" s="1"/>
    </row>
  </sheetData>
  <mergeCells count="12">
    <mergeCell ref="B15:B16"/>
    <mergeCell ref="B17:B18"/>
    <mergeCell ref="B19:B20"/>
    <mergeCell ref="T9:W9"/>
    <mergeCell ref="X9:Y9"/>
    <mergeCell ref="Z9:AA9"/>
    <mergeCell ref="B13:B14"/>
    <mergeCell ref="D9:E9"/>
    <mergeCell ref="F9:I9"/>
    <mergeCell ref="J9:L9"/>
    <mergeCell ref="M9:P9"/>
    <mergeCell ref="Q9:S9"/>
  </mergeCells>
  <hyperlinks>
    <hyperlink ref="B1" location="'Table of Contents'!A1" display="Home" xr:uid="{3CCE8EA5-DD78-5749-ACD1-98BF45A5E20D}"/>
  </hyperlinks>
  <pageMargins left="0.7" right="0.7" top="0.75" bottom="0.75" header="0.511811023622047" footer="0.511811023622047"/>
  <pageSetup paperSize="9" orientation="portrait" useFirstPageNumber="1"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7"/>
  <dimension ref="A1:AA29"/>
  <sheetViews>
    <sheetView showGridLines="0" zoomScale="60" zoomScaleNormal="60" workbookViewId="0"/>
  </sheetViews>
  <sheetFormatPr defaultColWidth="20.6328125" defaultRowHeight="19" customHeight="1" x14ac:dyDescent="0.35"/>
  <cols>
    <col min="1" max="1" width="8.81640625" style="1" customWidth="1"/>
    <col min="2" max="2" width="100.6328125" style="3" customWidth="1"/>
    <col min="3" max="3" width="20.6328125" style="2"/>
    <col min="4" max="27" width="20.6328125" style="1"/>
    <col min="28" max="16384" width="20.6328125" style="87"/>
  </cols>
  <sheetData>
    <row r="1" spans="1:27" x14ac:dyDescent="0.35">
      <c r="B1" s="37" t="s">
        <v>0</v>
      </c>
    </row>
    <row r="2" spans="1:27" x14ac:dyDescent="0.35">
      <c r="B2" s="3" t="s">
        <v>442</v>
      </c>
    </row>
    <row r="3" spans="1:27" s="88" customFormat="1" x14ac:dyDescent="0.35">
      <c r="A3" s="2"/>
      <c r="B3" s="3" t="s">
        <v>1</v>
      </c>
      <c r="C3" s="2"/>
      <c r="D3" s="2"/>
      <c r="E3" s="2"/>
      <c r="F3" s="2"/>
      <c r="G3" s="2"/>
      <c r="H3" s="2"/>
      <c r="I3" s="2"/>
      <c r="J3" s="2"/>
      <c r="K3" s="2"/>
      <c r="L3" s="2"/>
      <c r="M3" s="2"/>
      <c r="N3" s="2"/>
      <c r="O3" s="2"/>
      <c r="P3" s="2"/>
      <c r="Q3" s="2"/>
      <c r="R3" s="2"/>
      <c r="S3" s="2"/>
      <c r="T3" s="2"/>
      <c r="U3" s="2"/>
      <c r="V3" s="2"/>
      <c r="W3" s="2"/>
      <c r="X3" s="2"/>
      <c r="Y3" s="2"/>
      <c r="Z3" s="2"/>
      <c r="AA3" s="2"/>
    </row>
    <row r="4" spans="1:27" x14ac:dyDescent="0.35">
      <c r="B4" s="3" t="s">
        <v>2</v>
      </c>
    </row>
    <row r="6" spans="1:27" s="88" customFormat="1" ht="19" customHeight="1" x14ac:dyDescent="0.35">
      <c r="A6" s="2"/>
      <c r="B6" s="28" t="s">
        <v>67</v>
      </c>
      <c r="C6" s="2"/>
      <c r="D6" s="2"/>
      <c r="E6" s="2"/>
      <c r="F6" s="2"/>
      <c r="G6" s="2"/>
      <c r="H6" s="2"/>
      <c r="I6" s="2"/>
      <c r="J6" s="2"/>
      <c r="K6" s="2"/>
      <c r="L6" s="2"/>
      <c r="M6" s="2"/>
      <c r="N6" s="2"/>
      <c r="O6" s="2"/>
      <c r="P6" s="2"/>
      <c r="Q6" s="2"/>
      <c r="R6" s="2"/>
      <c r="S6" s="2"/>
      <c r="T6" s="2"/>
      <c r="U6" s="2"/>
      <c r="V6" s="2"/>
      <c r="W6" s="2"/>
      <c r="X6" s="2"/>
      <c r="Y6" s="2"/>
      <c r="Z6" s="2"/>
      <c r="AA6" s="2"/>
    </row>
    <row r="7" spans="1:27" ht="19.5" customHeight="1" x14ac:dyDescent="0.35">
      <c r="B7" s="215" t="s">
        <v>415</v>
      </c>
    </row>
    <row r="8" spans="1:27" ht="19" customHeight="1" thickBot="1" x14ac:dyDescent="0.4">
      <c r="A8" s="2"/>
    </row>
    <row r="9" spans="1:27" s="89" customFormat="1" ht="19.5" customHeight="1" x14ac:dyDescent="0.4">
      <c r="A9" s="2"/>
      <c r="B9" s="5"/>
      <c r="C9" s="6" t="s">
        <v>21</v>
      </c>
      <c r="D9" s="221" t="s">
        <v>22</v>
      </c>
      <c r="E9" s="222"/>
      <c r="F9" s="221" t="s">
        <v>23</v>
      </c>
      <c r="G9" s="222"/>
      <c r="H9" s="222"/>
      <c r="I9" s="222"/>
      <c r="J9" s="221" t="s">
        <v>24</v>
      </c>
      <c r="K9" s="222"/>
      <c r="L9" s="222"/>
      <c r="M9" s="221" t="s">
        <v>25</v>
      </c>
      <c r="N9" s="222"/>
      <c r="O9" s="222"/>
      <c r="P9" s="222"/>
      <c r="Q9" s="221" t="s">
        <v>26</v>
      </c>
      <c r="R9" s="222"/>
      <c r="S9" s="222"/>
      <c r="T9" s="221" t="s">
        <v>27</v>
      </c>
      <c r="U9" s="222"/>
      <c r="V9" s="222"/>
      <c r="W9" s="222"/>
      <c r="X9" s="221" t="s">
        <v>28</v>
      </c>
      <c r="Y9" s="222"/>
      <c r="Z9" s="221" t="s">
        <v>29</v>
      </c>
      <c r="AA9" s="223"/>
    </row>
    <row r="10" spans="1:27" s="89" customFormat="1" ht="57" customHeight="1" thickBot="1" x14ac:dyDescent="0.45">
      <c r="A10" s="2"/>
      <c r="B10" s="91"/>
      <c r="C10" s="7" t="e" vm="1">
        <v>#VALUE!</v>
      </c>
      <c r="D10" s="8" t="s">
        <v>30</v>
      </c>
      <c r="E10" s="9" t="s">
        <v>31</v>
      </c>
      <c r="F10" s="10" t="s">
        <v>32</v>
      </c>
      <c r="G10" s="11" t="s">
        <v>33</v>
      </c>
      <c r="H10" s="12" t="s">
        <v>34</v>
      </c>
      <c r="I10" s="9" t="s">
        <v>35</v>
      </c>
      <c r="J10" s="10" t="s">
        <v>36</v>
      </c>
      <c r="K10" s="12" t="s">
        <v>37</v>
      </c>
      <c r="L10" s="9" t="s">
        <v>38</v>
      </c>
      <c r="M10" s="10" t="s">
        <v>39</v>
      </c>
      <c r="N10" s="11" t="s">
        <v>40</v>
      </c>
      <c r="O10" s="12" t="s">
        <v>41</v>
      </c>
      <c r="P10" s="9" t="s">
        <v>42</v>
      </c>
      <c r="Q10" s="10" t="s">
        <v>43</v>
      </c>
      <c r="R10" s="12" t="s">
        <v>44</v>
      </c>
      <c r="S10" s="9" t="s">
        <v>45</v>
      </c>
      <c r="T10" s="34">
        <v>1</v>
      </c>
      <c r="U10" s="35">
        <v>2</v>
      </c>
      <c r="V10" s="36">
        <v>3</v>
      </c>
      <c r="W10" s="9" t="s">
        <v>46</v>
      </c>
      <c r="X10" s="13" t="s">
        <v>409</v>
      </c>
      <c r="Y10" s="9" t="s">
        <v>410</v>
      </c>
      <c r="Z10" s="10" t="s">
        <v>409</v>
      </c>
      <c r="AA10" s="31" t="s">
        <v>410</v>
      </c>
    </row>
    <row r="11" spans="1:27" s="92" customFormat="1" ht="18.75" customHeight="1" x14ac:dyDescent="0.35">
      <c r="A11" s="25"/>
      <c r="B11" s="14" t="s">
        <v>49</v>
      </c>
      <c r="C11" s="26">
        <v>27292</v>
      </c>
      <c r="D11" s="39">
        <v>13488</v>
      </c>
      <c r="E11" s="26">
        <v>13685</v>
      </c>
      <c r="F11" s="40">
        <v>3682</v>
      </c>
      <c r="G11" s="41">
        <v>7667</v>
      </c>
      <c r="H11" s="42">
        <v>7751</v>
      </c>
      <c r="I11" s="26">
        <v>8192</v>
      </c>
      <c r="J11" s="40">
        <v>2780</v>
      </c>
      <c r="K11" s="42">
        <v>9601</v>
      </c>
      <c r="L11" s="26">
        <v>12258</v>
      </c>
      <c r="M11" s="40">
        <v>2997</v>
      </c>
      <c r="N11" s="41">
        <v>14034</v>
      </c>
      <c r="O11" s="42">
        <v>2839</v>
      </c>
      <c r="P11" s="26">
        <v>6900</v>
      </c>
      <c r="Q11" s="40">
        <v>10494</v>
      </c>
      <c r="R11" s="42">
        <v>10245</v>
      </c>
      <c r="S11" s="26">
        <v>6421</v>
      </c>
      <c r="T11" s="40">
        <v>6218</v>
      </c>
      <c r="U11" s="41">
        <v>10287</v>
      </c>
      <c r="V11" s="42">
        <v>4457</v>
      </c>
      <c r="W11" s="26">
        <v>3439</v>
      </c>
      <c r="X11" s="39">
        <v>17539</v>
      </c>
      <c r="Y11" s="26">
        <v>8634</v>
      </c>
      <c r="Z11" s="40">
        <v>11191</v>
      </c>
      <c r="AA11" s="43">
        <v>14524</v>
      </c>
    </row>
    <row r="12" spans="1:27" s="92" customFormat="1" ht="18.75" customHeight="1" thickBot="1" x14ac:dyDescent="0.4">
      <c r="A12" s="26"/>
      <c r="B12" s="15" t="s">
        <v>50</v>
      </c>
      <c r="C12" s="44">
        <v>27292</v>
      </c>
      <c r="D12" s="45">
        <v>13117</v>
      </c>
      <c r="E12" s="46">
        <v>14056</v>
      </c>
      <c r="F12" s="45">
        <v>3535</v>
      </c>
      <c r="G12" s="47">
        <v>6272</v>
      </c>
      <c r="H12" s="47">
        <v>6843</v>
      </c>
      <c r="I12" s="46">
        <v>10643</v>
      </c>
      <c r="J12" s="45">
        <v>5987</v>
      </c>
      <c r="K12" s="47">
        <v>10797</v>
      </c>
      <c r="L12" s="46">
        <v>7855</v>
      </c>
      <c r="M12" s="45">
        <v>2765</v>
      </c>
      <c r="N12" s="47">
        <v>12846</v>
      </c>
      <c r="O12" s="47">
        <v>2724</v>
      </c>
      <c r="P12" s="46">
        <v>8517</v>
      </c>
      <c r="Q12" s="45">
        <v>10940</v>
      </c>
      <c r="R12" s="47">
        <v>9369</v>
      </c>
      <c r="S12" s="46">
        <v>6851</v>
      </c>
      <c r="T12" s="45">
        <v>7012</v>
      </c>
      <c r="U12" s="47">
        <v>10099</v>
      </c>
      <c r="V12" s="47">
        <v>3919</v>
      </c>
      <c r="W12" s="46">
        <v>2709</v>
      </c>
      <c r="X12" s="45">
        <v>18568</v>
      </c>
      <c r="Y12" s="46">
        <v>7508</v>
      </c>
      <c r="Z12" s="45">
        <v>11570</v>
      </c>
      <c r="AA12" s="48">
        <v>13901</v>
      </c>
    </row>
    <row r="13" spans="1:27" s="93" customFormat="1" ht="21" customHeight="1" x14ac:dyDescent="0.35">
      <c r="A13" s="65"/>
      <c r="B13" s="224" t="s">
        <v>68</v>
      </c>
      <c r="C13" s="63">
        <v>3596</v>
      </c>
      <c r="D13" s="64">
        <v>1956</v>
      </c>
      <c r="E13" s="65">
        <v>1627</v>
      </c>
      <c r="F13" s="66">
        <v>643</v>
      </c>
      <c r="G13" s="67">
        <v>1067</v>
      </c>
      <c r="H13" s="68">
        <v>796</v>
      </c>
      <c r="I13" s="65">
        <v>1091</v>
      </c>
      <c r="J13" s="66">
        <v>932</v>
      </c>
      <c r="K13" s="68">
        <v>1341</v>
      </c>
      <c r="L13" s="65">
        <v>1008</v>
      </c>
      <c r="M13" s="66">
        <v>525</v>
      </c>
      <c r="N13" s="67">
        <v>1655</v>
      </c>
      <c r="O13" s="68">
        <v>383</v>
      </c>
      <c r="P13" s="65">
        <v>986</v>
      </c>
      <c r="Q13" s="66">
        <v>1500</v>
      </c>
      <c r="R13" s="68">
        <v>1072</v>
      </c>
      <c r="S13" s="65">
        <v>1010</v>
      </c>
      <c r="T13" s="66">
        <v>954</v>
      </c>
      <c r="U13" s="67">
        <v>1097</v>
      </c>
      <c r="V13" s="68">
        <v>507</v>
      </c>
      <c r="W13" s="65">
        <v>379</v>
      </c>
      <c r="X13" s="64">
        <v>2892</v>
      </c>
      <c r="Y13" s="65">
        <v>648</v>
      </c>
      <c r="Z13" s="66">
        <v>2018</v>
      </c>
      <c r="AA13" s="69">
        <v>1448</v>
      </c>
    </row>
    <row r="14" spans="1:27" ht="24" customHeight="1" x14ac:dyDescent="0.35">
      <c r="B14" s="225"/>
      <c r="C14" s="49">
        <v>0.13</v>
      </c>
      <c r="D14" s="50">
        <v>0.15</v>
      </c>
      <c r="E14" s="51">
        <v>0.12</v>
      </c>
      <c r="F14" s="50">
        <v>0.18</v>
      </c>
      <c r="G14" s="51">
        <v>0.17</v>
      </c>
      <c r="H14" s="51">
        <v>0.12</v>
      </c>
      <c r="I14" s="51">
        <v>0.1</v>
      </c>
      <c r="J14" s="50">
        <v>0.16</v>
      </c>
      <c r="K14" s="51">
        <v>0.12</v>
      </c>
      <c r="L14" s="51">
        <v>0.13</v>
      </c>
      <c r="M14" s="50">
        <v>0.19</v>
      </c>
      <c r="N14" s="51">
        <v>0.13</v>
      </c>
      <c r="O14" s="51">
        <v>0.14000000000000001</v>
      </c>
      <c r="P14" s="51">
        <v>0.12</v>
      </c>
      <c r="Q14" s="50">
        <v>0.14000000000000001</v>
      </c>
      <c r="R14" s="51">
        <v>0.11</v>
      </c>
      <c r="S14" s="51">
        <v>0.15</v>
      </c>
      <c r="T14" s="50">
        <v>0.14000000000000001</v>
      </c>
      <c r="U14" s="51">
        <v>0.11</v>
      </c>
      <c r="V14" s="51">
        <v>0.13</v>
      </c>
      <c r="W14" s="51">
        <v>0.14000000000000001</v>
      </c>
      <c r="X14" s="50">
        <v>0.16</v>
      </c>
      <c r="Y14" s="51">
        <v>0.09</v>
      </c>
      <c r="Z14" s="50">
        <v>0.17</v>
      </c>
      <c r="AA14" s="52">
        <v>0.1</v>
      </c>
    </row>
    <row r="15" spans="1:27" s="93" customFormat="1" ht="21" customHeight="1" x14ac:dyDescent="0.35">
      <c r="A15" s="65"/>
      <c r="B15" s="228" t="s">
        <v>69</v>
      </c>
      <c r="C15" s="63">
        <v>8741</v>
      </c>
      <c r="D15" s="70">
        <v>4475</v>
      </c>
      <c r="E15" s="65">
        <v>4232</v>
      </c>
      <c r="F15" s="71">
        <v>1284</v>
      </c>
      <c r="G15" s="72">
        <v>2031</v>
      </c>
      <c r="H15" s="73">
        <v>2185</v>
      </c>
      <c r="I15" s="65">
        <v>3241</v>
      </c>
      <c r="J15" s="71">
        <v>1850</v>
      </c>
      <c r="K15" s="73">
        <v>3411</v>
      </c>
      <c r="L15" s="65">
        <v>2807</v>
      </c>
      <c r="M15" s="71">
        <v>978</v>
      </c>
      <c r="N15" s="72">
        <v>4474</v>
      </c>
      <c r="O15" s="73">
        <v>869</v>
      </c>
      <c r="P15" s="65">
        <v>2310</v>
      </c>
      <c r="Q15" s="71">
        <v>3543</v>
      </c>
      <c r="R15" s="73">
        <v>3139</v>
      </c>
      <c r="S15" s="65">
        <v>2041</v>
      </c>
      <c r="T15" s="71">
        <v>1916</v>
      </c>
      <c r="U15" s="72">
        <v>3285</v>
      </c>
      <c r="V15" s="73">
        <v>1405</v>
      </c>
      <c r="W15" s="65">
        <v>1007</v>
      </c>
      <c r="X15" s="70">
        <v>6226</v>
      </c>
      <c r="Y15" s="65">
        <v>2357</v>
      </c>
      <c r="Z15" s="71">
        <v>3863</v>
      </c>
      <c r="AA15" s="74">
        <v>4522</v>
      </c>
    </row>
    <row r="16" spans="1:27" ht="24" customHeight="1" x14ac:dyDescent="0.35">
      <c r="B16" s="225"/>
      <c r="C16" s="49">
        <v>0.32</v>
      </c>
      <c r="D16" s="50">
        <v>0.33999999999999997</v>
      </c>
      <c r="E16" s="51">
        <v>0.3</v>
      </c>
      <c r="F16" s="50">
        <v>0.37000000000000005</v>
      </c>
      <c r="G16" s="51">
        <v>0.31999999999999995</v>
      </c>
      <c r="H16" s="51">
        <v>0.32</v>
      </c>
      <c r="I16" s="51">
        <v>0.30999999999999994</v>
      </c>
      <c r="J16" s="50">
        <v>0.30000000000000004</v>
      </c>
      <c r="K16" s="51">
        <v>0.32</v>
      </c>
      <c r="L16" s="51">
        <v>0.36</v>
      </c>
      <c r="M16" s="50">
        <v>0.35000000000000003</v>
      </c>
      <c r="N16" s="51">
        <v>0.35</v>
      </c>
      <c r="O16" s="51">
        <v>0.32</v>
      </c>
      <c r="P16" s="51">
        <v>0.27</v>
      </c>
      <c r="Q16" s="50">
        <v>0.32</v>
      </c>
      <c r="R16" s="51">
        <v>0.34</v>
      </c>
      <c r="S16" s="51">
        <v>0.30000000000000004</v>
      </c>
      <c r="T16" s="50">
        <v>0.26999999999999996</v>
      </c>
      <c r="U16" s="51">
        <v>0.32</v>
      </c>
      <c r="V16" s="51">
        <v>0.36</v>
      </c>
      <c r="W16" s="51">
        <v>0.37</v>
      </c>
      <c r="X16" s="50">
        <v>0.32999999999999996</v>
      </c>
      <c r="Y16" s="51">
        <v>0.31000000000000005</v>
      </c>
      <c r="Z16" s="50">
        <v>0.33999999999999997</v>
      </c>
      <c r="AA16" s="52">
        <v>0.32999999999999996</v>
      </c>
    </row>
    <row r="17" spans="1:27" s="93" customFormat="1" ht="21" customHeight="1" x14ac:dyDescent="0.35">
      <c r="A17" s="65"/>
      <c r="B17" s="228" t="s">
        <v>70</v>
      </c>
      <c r="C17" s="63">
        <v>6643</v>
      </c>
      <c r="D17" s="70">
        <v>3534</v>
      </c>
      <c r="E17" s="65">
        <v>3083</v>
      </c>
      <c r="F17" s="71">
        <v>777</v>
      </c>
      <c r="G17" s="72">
        <v>1508</v>
      </c>
      <c r="H17" s="73">
        <v>1716</v>
      </c>
      <c r="I17" s="65">
        <v>2642</v>
      </c>
      <c r="J17" s="71">
        <v>1475</v>
      </c>
      <c r="K17" s="73">
        <v>2548</v>
      </c>
      <c r="L17" s="65">
        <v>2067</v>
      </c>
      <c r="M17" s="71">
        <v>586</v>
      </c>
      <c r="N17" s="72">
        <v>3374</v>
      </c>
      <c r="O17" s="73">
        <v>650</v>
      </c>
      <c r="P17" s="65">
        <v>1966</v>
      </c>
      <c r="Q17" s="71">
        <v>2563</v>
      </c>
      <c r="R17" s="73">
        <v>2458</v>
      </c>
      <c r="S17" s="65">
        <v>1605</v>
      </c>
      <c r="T17" s="71">
        <v>1707</v>
      </c>
      <c r="U17" s="72">
        <v>2704</v>
      </c>
      <c r="V17" s="73">
        <v>901</v>
      </c>
      <c r="W17" s="65">
        <v>600</v>
      </c>
      <c r="X17" s="70">
        <v>4248</v>
      </c>
      <c r="Y17" s="65">
        <v>2258</v>
      </c>
      <c r="Z17" s="71">
        <v>2523</v>
      </c>
      <c r="AA17" s="74">
        <v>3886</v>
      </c>
    </row>
    <row r="18" spans="1:27" ht="24" customHeight="1" x14ac:dyDescent="0.35">
      <c r="B18" s="225"/>
      <c r="C18" s="49">
        <v>0.24999999999999994</v>
      </c>
      <c r="D18" s="50">
        <v>0.27</v>
      </c>
      <c r="E18" s="51">
        <v>0.22000000000000003</v>
      </c>
      <c r="F18" s="50">
        <v>0.20999999999999996</v>
      </c>
      <c r="G18" s="51">
        <v>0.24</v>
      </c>
      <c r="H18" s="51">
        <v>0.24999999999999994</v>
      </c>
      <c r="I18" s="51">
        <v>0.25000000000000006</v>
      </c>
      <c r="J18" s="50">
        <v>0.24999999999999994</v>
      </c>
      <c r="K18" s="51">
        <v>0.24000000000000005</v>
      </c>
      <c r="L18" s="51">
        <v>0.26</v>
      </c>
      <c r="M18" s="50">
        <v>0.21999999999999997</v>
      </c>
      <c r="N18" s="51">
        <v>0.26</v>
      </c>
      <c r="O18" s="51">
        <v>0.23999999999999994</v>
      </c>
      <c r="P18" s="51">
        <v>0.22999999999999998</v>
      </c>
      <c r="Q18" s="50">
        <v>0.23999999999999994</v>
      </c>
      <c r="R18" s="51">
        <v>0.25999999999999995</v>
      </c>
      <c r="S18" s="51">
        <v>0.23000000000000004</v>
      </c>
      <c r="T18" s="50">
        <v>0.24000000000000005</v>
      </c>
      <c r="U18" s="51">
        <v>0.26999999999999996</v>
      </c>
      <c r="V18" s="51">
        <v>0.22999999999999998</v>
      </c>
      <c r="W18" s="51">
        <v>0.21999999999999997</v>
      </c>
      <c r="X18" s="50">
        <v>0.22999999999999998</v>
      </c>
      <c r="Y18" s="51">
        <v>0.29999999999999993</v>
      </c>
      <c r="Z18" s="50">
        <v>0.21999999999999997</v>
      </c>
      <c r="AA18" s="52">
        <v>0.27999999999999997</v>
      </c>
    </row>
    <row r="19" spans="1:27" s="93" customFormat="1" ht="21" customHeight="1" x14ac:dyDescent="0.35">
      <c r="A19" s="65"/>
      <c r="B19" s="228" t="s">
        <v>71</v>
      </c>
      <c r="C19" s="63">
        <v>2078</v>
      </c>
      <c r="D19" s="70">
        <v>1127</v>
      </c>
      <c r="E19" s="65">
        <v>941</v>
      </c>
      <c r="F19" s="71">
        <v>226</v>
      </c>
      <c r="G19" s="72">
        <v>474</v>
      </c>
      <c r="H19" s="73">
        <v>582</v>
      </c>
      <c r="I19" s="65">
        <v>796</v>
      </c>
      <c r="J19" s="71">
        <v>490</v>
      </c>
      <c r="K19" s="73">
        <v>829</v>
      </c>
      <c r="L19" s="65">
        <v>554</v>
      </c>
      <c r="M19" s="71">
        <v>205</v>
      </c>
      <c r="N19" s="72">
        <v>956</v>
      </c>
      <c r="O19" s="73">
        <v>262</v>
      </c>
      <c r="P19" s="65">
        <v>620</v>
      </c>
      <c r="Q19" s="71">
        <v>854</v>
      </c>
      <c r="R19" s="73">
        <v>668</v>
      </c>
      <c r="S19" s="65">
        <v>551</v>
      </c>
      <c r="T19" s="71">
        <v>606</v>
      </c>
      <c r="U19" s="72">
        <v>764</v>
      </c>
      <c r="V19" s="73">
        <v>281</v>
      </c>
      <c r="W19" s="65">
        <v>155</v>
      </c>
      <c r="X19" s="70">
        <v>1286</v>
      </c>
      <c r="Y19" s="65">
        <v>733</v>
      </c>
      <c r="Z19" s="71">
        <v>873</v>
      </c>
      <c r="AA19" s="74">
        <v>1071</v>
      </c>
    </row>
    <row r="20" spans="1:27" ht="24" customHeight="1" x14ac:dyDescent="0.35">
      <c r="B20" s="225"/>
      <c r="C20" s="49">
        <v>7.0000000000000062E-2</v>
      </c>
      <c r="D20" s="50">
        <v>8.9999999999999969E-2</v>
      </c>
      <c r="E20" s="51">
        <v>5.9999999999999942E-2</v>
      </c>
      <c r="F20" s="50">
        <v>6.9999999999999951E-2</v>
      </c>
      <c r="G20" s="51">
        <v>8.0000000000000071E-2</v>
      </c>
      <c r="H20" s="51">
        <v>8.0000000000000071E-2</v>
      </c>
      <c r="I20" s="51">
        <v>6.9999999999999951E-2</v>
      </c>
      <c r="J20" s="50">
        <v>8.0000000000000071E-2</v>
      </c>
      <c r="K20" s="51">
        <v>6.9999999999999951E-2</v>
      </c>
      <c r="L20" s="51">
        <v>6.9999999999999951E-2</v>
      </c>
      <c r="M20" s="50">
        <v>6.9999999999999951E-2</v>
      </c>
      <c r="N20" s="51">
        <v>7.0000000000000062E-2</v>
      </c>
      <c r="O20" s="51">
        <v>9.000000000000008E-2</v>
      </c>
      <c r="P20" s="51">
        <v>6.9999999999999951E-2</v>
      </c>
      <c r="Q20" s="50">
        <v>7.0000000000000062E-2</v>
      </c>
      <c r="R20" s="51">
        <v>7.0000000000000062E-2</v>
      </c>
      <c r="S20" s="51">
        <v>7.999999999999996E-2</v>
      </c>
      <c r="T20" s="50">
        <v>8.9999999999999969E-2</v>
      </c>
      <c r="U20" s="51">
        <v>8.0000000000000071E-2</v>
      </c>
      <c r="V20" s="51">
        <v>7.0000000000000062E-2</v>
      </c>
      <c r="W20" s="51">
        <v>6.0000000000000053E-2</v>
      </c>
      <c r="X20" s="50">
        <v>7.0000000000000062E-2</v>
      </c>
      <c r="Y20" s="51">
        <v>0.10000000000000009</v>
      </c>
      <c r="Z20" s="50">
        <v>7.0000000000000062E-2</v>
      </c>
      <c r="AA20" s="52">
        <v>8.0000000000000071E-2</v>
      </c>
    </row>
    <row r="21" spans="1:27" s="93" customFormat="1" ht="21" customHeight="1" x14ac:dyDescent="0.35">
      <c r="A21" s="65"/>
      <c r="B21" s="228" t="s">
        <v>72</v>
      </c>
      <c r="C21" s="63">
        <v>2707</v>
      </c>
      <c r="D21" s="70">
        <v>910</v>
      </c>
      <c r="E21" s="65">
        <v>1782</v>
      </c>
      <c r="F21" s="71">
        <v>263</v>
      </c>
      <c r="G21" s="72">
        <v>506</v>
      </c>
      <c r="H21" s="73">
        <v>622</v>
      </c>
      <c r="I21" s="65">
        <v>1316</v>
      </c>
      <c r="J21" s="71">
        <v>574</v>
      </c>
      <c r="K21" s="73">
        <v>1175</v>
      </c>
      <c r="L21" s="65">
        <v>632</v>
      </c>
      <c r="M21" s="71">
        <v>172</v>
      </c>
      <c r="N21" s="72">
        <v>1036</v>
      </c>
      <c r="O21" s="73">
        <v>224</v>
      </c>
      <c r="P21" s="65">
        <v>1215</v>
      </c>
      <c r="Q21" s="71">
        <v>1174</v>
      </c>
      <c r="R21" s="73">
        <v>836</v>
      </c>
      <c r="S21" s="65">
        <v>678</v>
      </c>
      <c r="T21" s="71">
        <v>892</v>
      </c>
      <c r="U21" s="72">
        <v>929</v>
      </c>
      <c r="V21" s="73">
        <v>365</v>
      </c>
      <c r="W21" s="65">
        <v>259</v>
      </c>
      <c r="X21" s="70">
        <v>1755</v>
      </c>
      <c r="Y21" s="65">
        <v>722</v>
      </c>
      <c r="Z21" s="71">
        <v>1069</v>
      </c>
      <c r="AA21" s="74">
        <v>1360</v>
      </c>
    </row>
    <row r="22" spans="1:27" ht="24" customHeight="1" x14ac:dyDescent="0.35">
      <c r="B22" s="225"/>
      <c r="C22" s="49">
        <v>9.9999999999999978E-2</v>
      </c>
      <c r="D22" s="50">
        <v>6.0000000000000053E-2</v>
      </c>
      <c r="E22" s="51">
        <v>0.13</v>
      </c>
      <c r="F22" s="50">
        <v>7.0000000000000062E-2</v>
      </c>
      <c r="G22" s="51">
        <v>7.999999999999996E-2</v>
      </c>
      <c r="H22" s="51">
        <v>8.9999999999999969E-2</v>
      </c>
      <c r="I22" s="51">
        <v>0.12</v>
      </c>
      <c r="J22" s="50">
        <v>9.9999999999999978E-2</v>
      </c>
      <c r="K22" s="51">
        <v>0.10999999999999999</v>
      </c>
      <c r="L22" s="51">
        <v>8.0000000000000071E-2</v>
      </c>
      <c r="M22" s="50">
        <v>6.0000000000000053E-2</v>
      </c>
      <c r="N22" s="51">
        <v>7.999999999999996E-2</v>
      </c>
      <c r="O22" s="51">
        <v>8.9999999999999969E-2</v>
      </c>
      <c r="P22" s="51">
        <v>0.14000000000000001</v>
      </c>
      <c r="Q22" s="50">
        <v>0.10999999999999999</v>
      </c>
      <c r="R22" s="51">
        <v>8.9999999999999969E-2</v>
      </c>
      <c r="S22" s="51">
        <v>9.9999999999999978E-2</v>
      </c>
      <c r="T22" s="50">
        <v>0.13</v>
      </c>
      <c r="U22" s="51">
        <v>8.9999999999999969E-2</v>
      </c>
      <c r="V22" s="51">
        <v>8.9999999999999969E-2</v>
      </c>
      <c r="W22" s="51">
        <v>9.9999999999999978E-2</v>
      </c>
      <c r="X22" s="50">
        <v>8.9999999999999969E-2</v>
      </c>
      <c r="Y22" s="51">
        <v>8.9999999999999969E-2</v>
      </c>
      <c r="Z22" s="50">
        <v>8.9999999999999969E-2</v>
      </c>
      <c r="AA22" s="52">
        <v>8.9999999999999969E-2</v>
      </c>
    </row>
    <row r="23" spans="1:27" s="93" customFormat="1" ht="21" customHeight="1" x14ac:dyDescent="0.35">
      <c r="A23" s="65"/>
      <c r="B23" s="228" t="s">
        <v>55</v>
      </c>
      <c r="C23" s="63">
        <v>3525</v>
      </c>
      <c r="D23" s="70">
        <v>1116</v>
      </c>
      <c r="E23" s="65">
        <v>2391</v>
      </c>
      <c r="F23" s="71">
        <v>342</v>
      </c>
      <c r="G23" s="72">
        <v>685</v>
      </c>
      <c r="H23" s="73">
        <v>942</v>
      </c>
      <c r="I23" s="65">
        <v>1556</v>
      </c>
      <c r="J23" s="71">
        <v>666</v>
      </c>
      <c r="K23" s="73">
        <v>1493</v>
      </c>
      <c r="L23" s="65">
        <v>787</v>
      </c>
      <c r="M23" s="71">
        <v>298</v>
      </c>
      <c r="N23" s="72">
        <v>1351</v>
      </c>
      <c r="O23" s="73">
        <v>336</v>
      </c>
      <c r="P23" s="65">
        <v>1420</v>
      </c>
      <c r="Q23" s="71">
        <v>1307</v>
      </c>
      <c r="R23" s="73">
        <v>1196</v>
      </c>
      <c r="S23" s="65">
        <v>967</v>
      </c>
      <c r="T23" s="71">
        <v>937</v>
      </c>
      <c r="U23" s="72">
        <v>1320</v>
      </c>
      <c r="V23" s="73">
        <v>459</v>
      </c>
      <c r="W23" s="65">
        <v>308</v>
      </c>
      <c r="X23" s="70">
        <v>2160</v>
      </c>
      <c r="Y23" s="65">
        <v>790</v>
      </c>
      <c r="Z23" s="71">
        <v>1225</v>
      </c>
      <c r="AA23" s="74">
        <v>1613</v>
      </c>
    </row>
    <row r="24" spans="1:27" ht="24" customHeight="1" thickBot="1" x14ac:dyDescent="0.4">
      <c r="B24" s="229"/>
      <c r="C24" s="53">
        <v>0.13</v>
      </c>
      <c r="D24" s="54">
        <v>8.9999999999999969E-2</v>
      </c>
      <c r="E24" s="55">
        <v>0.17000000000000004</v>
      </c>
      <c r="F24" s="56">
        <v>9.9999999999999978E-2</v>
      </c>
      <c r="G24" s="57">
        <v>0.10999999999999999</v>
      </c>
      <c r="H24" s="58">
        <v>0.14000000000000001</v>
      </c>
      <c r="I24" s="55">
        <v>0.15000000000000002</v>
      </c>
      <c r="J24" s="56">
        <v>0.10999999999999999</v>
      </c>
      <c r="K24" s="58">
        <v>0.14000000000000001</v>
      </c>
      <c r="L24" s="55">
        <v>9.9999999999999978E-2</v>
      </c>
      <c r="M24" s="56">
        <v>0.10999999999999999</v>
      </c>
      <c r="N24" s="57">
        <v>0.10999999999999999</v>
      </c>
      <c r="O24" s="58">
        <v>0.12</v>
      </c>
      <c r="P24" s="55">
        <v>0.17000000000000004</v>
      </c>
      <c r="Q24" s="56">
        <v>0.12</v>
      </c>
      <c r="R24" s="58">
        <v>0.13</v>
      </c>
      <c r="S24" s="55">
        <v>0.14000000000000001</v>
      </c>
      <c r="T24" s="56">
        <v>0.13</v>
      </c>
      <c r="U24" s="57">
        <v>0.13</v>
      </c>
      <c r="V24" s="58">
        <v>0.12</v>
      </c>
      <c r="W24" s="55">
        <v>0.10999999999999999</v>
      </c>
      <c r="X24" s="54">
        <v>0.12</v>
      </c>
      <c r="Y24" s="55">
        <v>0.10999999999999999</v>
      </c>
      <c r="Z24" s="56">
        <v>0.10999999999999999</v>
      </c>
      <c r="AA24" s="52">
        <v>0.12</v>
      </c>
    </row>
    <row r="25" spans="1:27" s="93" customFormat="1" ht="21" customHeight="1" x14ac:dyDescent="0.35">
      <c r="A25" s="65"/>
      <c r="B25" s="230" t="s">
        <v>413</v>
      </c>
      <c r="C25" s="75">
        <v>12338</v>
      </c>
      <c r="D25" s="76">
        <v>6431</v>
      </c>
      <c r="E25" s="77">
        <v>5859</v>
      </c>
      <c r="F25" s="78">
        <v>1927</v>
      </c>
      <c r="G25" s="79">
        <v>3098</v>
      </c>
      <c r="H25" s="80">
        <v>2980</v>
      </c>
      <c r="I25" s="77">
        <v>4332</v>
      </c>
      <c r="J25" s="78">
        <v>2782</v>
      </c>
      <c r="K25" s="80">
        <v>4752</v>
      </c>
      <c r="L25" s="77">
        <v>3815</v>
      </c>
      <c r="M25" s="78">
        <v>1503</v>
      </c>
      <c r="N25" s="79">
        <v>6129</v>
      </c>
      <c r="O25" s="80">
        <v>1253</v>
      </c>
      <c r="P25" s="77">
        <v>3297</v>
      </c>
      <c r="Q25" s="78">
        <v>5042</v>
      </c>
      <c r="R25" s="80">
        <v>4211</v>
      </c>
      <c r="S25" s="77">
        <v>3050</v>
      </c>
      <c r="T25" s="78">
        <v>2870</v>
      </c>
      <c r="U25" s="79">
        <v>4382</v>
      </c>
      <c r="V25" s="80">
        <v>1913</v>
      </c>
      <c r="W25" s="77">
        <v>1386</v>
      </c>
      <c r="X25" s="76">
        <v>9118</v>
      </c>
      <c r="Y25" s="77">
        <v>3005</v>
      </c>
      <c r="Z25" s="78">
        <v>5881</v>
      </c>
      <c r="AA25" s="81">
        <v>5970</v>
      </c>
    </row>
    <row r="26" spans="1:27" ht="24" customHeight="1" x14ac:dyDescent="0.35">
      <c r="B26" s="231"/>
      <c r="C26" s="49">
        <v>0.45</v>
      </c>
      <c r="D26" s="50">
        <v>0.49</v>
      </c>
      <c r="E26" s="51">
        <v>0.42</v>
      </c>
      <c r="F26" s="50">
        <v>0.55000000000000004</v>
      </c>
      <c r="G26" s="51">
        <v>0.49</v>
      </c>
      <c r="H26" s="51">
        <v>0.44</v>
      </c>
      <c r="I26" s="51">
        <v>0.41</v>
      </c>
      <c r="J26" s="50">
        <v>0.46</v>
      </c>
      <c r="K26" s="51">
        <v>0.44</v>
      </c>
      <c r="L26" s="51">
        <v>0.49</v>
      </c>
      <c r="M26" s="50">
        <v>0.54</v>
      </c>
      <c r="N26" s="51">
        <v>0.48</v>
      </c>
      <c r="O26" s="51">
        <v>0.46</v>
      </c>
      <c r="P26" s="51">
        <v>0.39</v>
      </c>
      <c r="Q26" s="50">
        <v>0.46</v>
      </c>
      <c r="R26" s="51">
        <v>0.45</v>
      </c>
      <c r="S26" s="51">
        <v>0.45</v>
      </c>
      <c r="T26" s="50">
        <v>0.41</v>
      </c>
      <c r="U26" s="51">
        <v>0.43</v>
      </c>
      <c r="V26" s="51">
        <v>0.49</v>
      </c>
      <c r="W26" s="51">
        <v>0.51</v>
      </c>
      <c r="X26" s="50">
        <v>0.49</v>
      </c>
      <c r="Y26" s="51">
        <v>0.4</v>
      </c>
      <c r="Z26" s="50">
        <v>0.51</v>
      </c>
      <c r="AA26" s="52">
        <v>0.43</v>
      </c>
    </row>
    <row r="27" spans="1:27" ht="20.25" customHeight="1" x14ac:dyDescent="0.35">
      <c r="B27" s="226" t="s">
        <v>414</v>
      </c>
      <c r="C27" s="63">
        <v>8721</v>
      </c>
      <c r="D27" s="95">
        <v>4660</v>
      </c>
      <c r="E27" s="96">
        <v>4024</v>
      </c>
      <c r="F27" s="97">
        <v>1002</v>
      </c>
      <c r="G27" s="98">
        <v>1982</v>
      </c>
      <c r="H27" s="99">
        <v>2298</v>
      </c>
      <c r="I27" s="96">
        <v>3438</v>
      </c>
      <c r="J27" s="97">
        <v>1965</v>
      </c>
      <c r="K27" s="99">
        <v>3377</v>
      </c>
      <c r="L27" s="96">
        <v>2621</v>
      </c>
      <c r="M27" s="97">
        <v>791</v>
      </c>
      <c r="N27" s="98">
        <v>4330</v>
      </c>
      <c r="O27" s="99">
        <v>912</v>
      </c>
      <c r="P27" s="96">
        <v>2586</v>
      </c>
      <c r="Q27" s="97">
        <v>3417</v>
      </c>
      <c r="R27" s="99">
        <v>3126</v>
      </c>
      <c r="S27" s="96">
        <v>2156</v>
      </c>
      <c r="T27" s="97">
        <v>2313</v>
      </c>
      <c r="U27" s="98">
        <v>3468</v>
      </c>
      <c r="V27" s="99">
        <v>1182</v>
      </c>
      <c r="W27" s="96">
        <v>756</v>
      </c>
      <c r="X27" s="95">
        <v>5535</v>
      </c>
      <c r="Y27" s="96">
        <v>2991</v>
      </c>
      <c r="Z27" s="97">
        <v>3395</v>
      </c>
      <c r="AA27" s="100">
        <v>4958</v>
      </c>
    </row>
    <row r="28" spans="1:27" ht="24.75" customHeight="1" thickBot="1" x14ac:dyDescent="0.4">
      <c r="B28" s="227"/>
      <c r="C28" s="59">
        <v>0.32</v>
      </c>
      <c r="D28" s="23">
        <v>0.36</v>
      </c>
      <c r="E28" s="24">
        <v>0.27999999999999997</v>
      </c>
      <c r="F28" s="23">
        <v>0.27999999999999992</v>
      </c>
      <c r="G28" s="24">
        <v>0.32000000000000006</v>
      </c>
      <c r="H28" s="24">
        <v>0.33</v>
      </c>
      <c r="I28" s="24">
        <v>0.32</v>
      </c>
      <c r="J28" s="23">
        <v>0.33</v>
      </c>
      <c r="K28" s="24">
        <v>0.31</v>
      </c>
      <c r="L28" s="24">
        <v>0.32999999999999996</v>
      </c>
      <c r="M28" s="23">
        <v>0.28999999999999992</v>
      </c>
      <c r="N28" s="24">
        <v>0.33000000000000007</v>
      </c>
      <c r="O28" s="24">
        <v>0.33</v>
      </c>
      <c r="P28" s="24">
        <v>0.29999999999999993</v>
      </c>
      <c r="Q28" s="23">
        <v>0.31</v>
      </c>
      <c r="R28" s="24">
        <v>0.33</v>
      </c>
      <c r="S28" s="24">
        <v>0.31</v>
      </c>
      <c r="T28" s="23">
        <v>0.33</v>
      </c>
      <c r="U28" s="24">
        <v>0.35000000000000003</v>
      </c>
      <c r="V28" s="24">
        <v>0.30000000000000004</v>
      </c>
      <c r="W28" s="24">
        <v>0.28000000000000003</v>
      </c>
      <c r="X28" s="23">
        <v>0.30000000000000004</v>
      </c>
      <c r="Y28" s="24">
        <v>0.4</v>
      </c>
      <c r="Z28" s="23">
        <v>0.29000000000000004</v>
      </c>
      <c r="AA28" s="33">
        <v>0.36000000000000004</v>
      </c>
    </row>
    <row r="29" spans="1:27" x14ac:dyDescent="0.35">
      <c r="B29" s="1"/>
    </row>
  </sheetData>
  <mergeCells count="16">
    <mergeCell ref="B25:B26"/>
    <mergeCell ref="B27:B28"/>
    <mergeCell ref="B15:B16"/>
    <mergeCell ref="B17:B18"/>
    <mergeCell ref="B19:B20"/>
    <mergeCell ref="B21:B22"/>
    <mergeCell ref="B23:B24"/>
    <mergeCell ref="T9:W9"/>
    <mergeCell ref="X9:Y9"/>
    <mergeCell ref="Z9:AA9"/>
    <mergeCell ref="B13:B14"/>
    <mergeCell ref="D9:E9"/>
    <mergeCell ref="F9:I9"/>
    <mergeCell ref="J9:L9"/>
    <mergeCell ref="M9:P9"/>
    <mergeCell ref="Q9:S9"/>
  </mergeCells>
  <hyperlinks>
    <hyperlink ref="B1" location="'Table of Contents'!A1" display="Home" xr:uid="{EC602F9A-302E-8143-B741-DBD29E071A1B}"/>
  </hyperlinks>
  <pageMargins left="0.7" right="0.7" top="0.75" bottom="0.75" header="0.511811023622047" footer="0.511811023622047"/>
  <pageSetup paperSize="9" orientation="portrait" useFirstPageNumber="1"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8"/>
  <dimension ref="A1:AA30"/>
  <sheetViews>
    <sheetView showGridLines="0" zoomScale="60" zoomScaleNormal="60" workbookViewId="0"/>
  </sheetViews>
  <sheetFormatPr defaultColWidth="20.6328125" defaultRowHeight="19" customHeight="1" x14ac:dyDescent="0.35"/>
  <cols>
    <col min="1" max="1" width="8.81640625" style="1" customWidth="1"/>
    <col min="2" max="2" width="100.6328125" style="3" customWidth="1"/>
    <col min="3" max="3" width="20.6328125" style="2"/>
    <col min="4" max="27" width="20.6328125" style="1"/>
    <col min="28" max="16384" width="20.6328125" style="87"/>
  </cols>
  <sheetData>
    <row r="1" spans="1:27" x14ac:dyDescent="0.35">
      <c r="B1" s="37" t="s">
        <v>0</v>
      </c>
    </row>
    <row r="2" spans="1:27" x14ac:dyDescent="0.35">
      <c r="B2" s="3" t="s">
        <v>442</v>
      </c>
    </row>
    <row r="3" spans="1:27" s="88" customFormat="1" x14ac:dyDescent="0.35">
      <c r="A3" s="2"/>
      <c r="B3" s="3" t="s">
        <v>1</v>
      </c>
      <c r="C3" s="2"/>
      <c r="D3" s="2"/>
      <c r="E3" s="2"/>
      <c r="F3" s="2"/>
      <c r="G3" s="2"/>
      <c r="H3" s="2"/>
      <c r="I3" s="2"/>
      <c r="J3" s="2"/>
      <c r="K3" s="2"/>
      <c r="L3" s="2"/>
      <c r="M3" s="2"/>
      <c r="N3" s="2"/>
      <c r="O3" s="2"/>
      <c r="P3" s="2"/>
      <c r="Q3" s="2"/>
      <c r="R3" s="2"/>
      <c r="S3" s="2"/>
      <c r="T3" s="2"/>
      <c r="U3" s="2"/>
      <c r="V3" s="2"/>
      <c r="W3" s="2"/>
      <c r="X3" s="2"/>
      <c r="Y3" s="2"/>
      <c r="Z3" s="2"/>
      <c r="AA3" s="2"/>
    </row>
    <row r="4" spans="1:27" x14ac:dyDescent="0.35">
      <c r="B4" s="3" t="s">
        <v>2</v>
      </c>
    </row>
    <row r="6" spans="1:27" s="88" customFormat="1" ht="19" customHeight="1" x14ac:dyDescent="0.35">
      <c r="A6" s="2"/>
      <c r="B6" s="28" t="s">
        <v>73</v>
      </c>
      <c r="C6" s="2"/>
      <c r="D6" s="2"/>
      <c r="E6" s="2"/>
      <c r="F6" s="2"/>
      <c r="G6" s="2"/>
      <c r="H6" s="2"/>
      <c r="I6" s="2"/>
      <c r="J6" s="2"/>
      <c r="K6" s="2"/>
      <c r="L6" s="2"/>
      <c r="M6" s="2"/>
      <c r="N6" s="2"/>
      <c r="O6" s="2"/>
      <c r="P6" s="2"/>
      <c r="Q6" s="2"/>
      <c r="R6" s="2"/>
      <c r="S6" s="2"/>
      <c r="T6" s="2"/>
      <c r="U6" s="2"/>
      <c r="V6" s="2"/>
      <c r="W6" s="2"/>
      <c r="X6" s="2"/>
      <c r="Y6" s="2"/>
      <c r="Z6" s="2"/>
      <c r="AA6" s="2"/>
    </row>
    <row r="7" spans="1:27" ht="19.5" customHeight="1" x14ac:dyDescent="0.35">
      <c r="B7" s="215" t="s">
        <v>415</v>
      </c>
    </row>
    <row r="8" spans="1:27" ht="19" customHeight="1" thickBot="1" x14ac:dyDescent="0.4">
      <c r="A8" s="2"/>
    </row>
    <row r="9" spans="1:27" s="89" customFormat="1" ht="19.5" customHeight="1" x14ac:dyDescent="0.4">
      <c r="A9" s="2"/>
      <c r="B9" s="5"/>
      <c r="C9" s="6" t="s">
        <v>21</v>
      </c>
      <c r="D9" s="221" t="s">
        <v>22</v>
      </c>
      <c r="E9" s="222"/>
      <c r="F9" s="221" t="s">
        <v>23</v>
      </c>
      <c r="G9" s="222"/>
      <c r="H9" s="222"/>
      <c r="I9" s="222"/>
      <c r="J9" s="221" t="s">
        <v>24</v>
      </c>
      <c r="K9" s="222"/>
      <c r="L9" s="222"/>
      <c r="M9" s="221" t="s">
        <v>25</v>
      </c>
      <c r="N9" s="222"/>
      <c r="O9" s="222"/>
      <c r="P9" s="222"/>
      <c r="Q9" s="221" t="s">
        <v>26</v>
      </c>
      <c r="R9" s="222"/>
      <c r="S9" s="222"/>
      <c r="T9" s="221" t="s">
        <v>27</v>
      </c>
      <c r="U9" s="222"/>
      <c r="V9" s="222"/>
      <c r="W9" s="222"/>
      <c r="X9" s="221" t="s">
        <v>28</v>
      </c>
      <c r="Y9" s="222"/>
      <c r="Z9" s="221" t="s">
        <v>29</v>
      </c>
      <c r="AA9" s="223"/>
    </row>
    <row r="10" spans="1:27" s="89" customFormat="1" ht="57" customHeight="1" thickBot="1" x14ac:dyDescent="0.45">
      <c r="A10" s="2"/>
      <c r="B10" s="91"/>
      <c r="C10" s="7" t="e" vm="1">
        <v>#VALUE!</v>
      </c>
      <c r="D10" s="8" t="s">
        <v>30</v>
      </c>
      <c r="E10" s="9" t="s">
        <v>31</v>
      </c>
      <c r="F10" s="10" t="s">
        <v>32</v>
      </c>
      <c r="G10" s="11" t="s">
        <v>33</v>
      </c>
      <c r="H10" s="12" t="s">
        <v>34</v>
      </c>
      <c r="I10" s="9" t="s">
        <v>35</v>
      </c>
      <c r="J10" s="10" t="s">
        <v>36</v>
      </c>
      <c r="K10" s="12" t="s">
        <v>37</v>
      </c>
      <c r="L10" s="9" t="s">
        <v>38</v>
      </c>
      <c r="M10" s="10" t="s">
        <v>39</v>
      </c>
      <c r="N10" s="11" t="s">
        <v>40</v>
      </c>
      <c r="O10" s="12" t="s">
        <v>41</v>
      </c>
      <c r="P10" s="9" t="s">
        <v>42</v>
      </c>
      <c r="Q10" s="10" t="s">
        <v>43</v>
      </c>
      <c r="R10" s="12" t="s">
        <v>44</v>
      </c>
      <c r="S10" s="9" t="s">
        <v>45</v>
      </c>
      <c r="T10" s="34">
        <v>1</v>
      </c>
      <c r="U10" s="35">
        <v>2</v>
      </c>
      <c r="V10" s="36">
        <v>3</v>
      </c>
      <c r="W10" s="9" t="s">
        <v>46</v>
      </c>
      <c r="X10" s="13" t="s">
        <v>409</v>
      </c>
      <c r="Y10" s="9" t="s">
        <v>410</v>
      </c>
      <c r="Z10" s="10" t="s">
        <v>409</v>
      </c>
      <c r="AA10" s="31" t="s">
        <v>410</v>
      </c>
    </row>
    <row r="11" spans="1:27" s="92" customFormat="1" ht="18.75" customHeight="1" x14ac:dyDescent="0.35">
      <c r="A11" s="25"/>
      <c r="B11" s="14" t="s">
        <v>49</v>
      </c>
      <c r="C11" s="26">
        <v>27292</v>
      </c>
      <c r="D11" s="39">
        <v>13488</v>
      </c>
      <c r="E11" s="26">
        <v>13685</v>
      </c>
      <c r="F11" s="40">
        <v>3682</v>
      </c>
      <c r="G11" s="41">
        <v>7667</v>
      </c>
      <c r="H11" s="42">
        <v>7751</v>
      </c>
      <c r="I11" s="26">
        <v>8192</v>
      </c>
      <c r="J11" s="40">
        <v>2780</v>
      </c>
      <c r="K11" s="42">
        <v>9601</v>
      </c>
      <c r="L11" s="26">
        <v>12258</v>
      </c>
      <c r="M11" s="40">
        <v>2997</v>
      </c>
      <c r="N11" s="41">
        <v>14034</v>
      </c>
      <c r="O11" s="42">
        <v>2839</v>
      </c>
      <c r="P11" s="26">
        <v>6900</v>
      </c>
      <c r="Q11" s="40">
        <v>10494</v>
      </c>
      <c r="R11" s="42">
        <v>10245</v>
      </c>
      <c r="S11" s="26">
        <v>6421</v>
      </c>
      <c r="T11" s="40">
        <v>6218</v>
      </c>
      <c r="U11" s="41">
        <v>10287</v>
      </c>
      <c r="V11" s="42">
        <v>4457</v>
      </c>
      <c r="W11" s="26">
        <v>3439</v>
      </c>
      <c r="X11" s="39">
        <v>17539</v>
      </c>
      <c r="Y11" s="26">
        <v>8634</v>
      </c>
      <c r="Z11" s="40">
        <v>11191</v>
      </c>
      <c r="AA11" s="43">
        <v>14524</v>
      </c>
    </row>
    <row r="12" spans="1:27" s="92" customFormat="1" ht="18.75" customHeight="1" thickBot="1" x14ac:dyDescent="0.4">
      <c r="A12" s="26"/>
      <c r="B12" s="15" t="s">
        <v>50</v>
      </c>
      <c r="C12" s="44">
        <v>27292</v>
      </c>
      <c r="D12" s="45">
        <v>13117</v>
      </c>
      <c r="E12" s="46">
        <v>14056</v>
      </c>
      <c r="F12" s="45">
        <v>3535</v>
      </c>
      <c r="G12" s="47">
        <v>6272</v>
      </c>
      <c r="H12" s="47">
        <v>6843</v>
      </c>
      <c r="I12" s="46">
        <v>10643</v>
      </c>
      <c r="J12" s="45">
        <v>5987</v>
      </c>
      <c r="K12" s="47">
        <v>10797</v>
      </c>
      <c r="L12" s="46">
        <v>7855</v>
      </c>
      <c r="M12" s="45">
        <v>2765</v>
      </c>
      <c r="N12" s="47">
        <v>12846</v>
      </c>
      <c r="O12" s="47">
        <v>2724</v>
      </c>
      <c r="P12" s="46">
        <v>8517</v>
      </c>
      <c r="Q12" s="45">
        <v>10940</v>
      </c>
      <c r="R12" s="47">
        <v>9369</v>
      </c>
      <c r="S12" s="46">
        <v>6851</v>
      </c>
      <c r="T12" s="45">
        <v>7012</v>
      </c>
      <c r="U12" s="47">
        <v>10099</v>
      </c>
      <c r="V12" s="47">
        <v>3919</v>
      </c>
      <c r="W12" s="46">
        <v>2709</v>
      </c>
      <c r="X12" s="45">
        <v>18568</v>
      </c>
      <c r="Y12" s="46">
        <v>7508</v>
      </c>
      <c r="Z12" s="45">
        <v>11570</v>
      </c>
      <c r="AA12" s="48">
        <v>13901</v>
      </c>
    </row>
    <row r="13" spans="1:27" s="93" customFormat="1" ht="21" customHeight="1" x14ac:dyDescent="0.35">
      <c r="A13" s="65"/>
      <c r="B13" s="224" t="s">
        <v>68</v>
      </c>
      <c r="C13" s="63">
        <v>2389</v>
      </c>
      <c r="D13" s="64">
        <v>1179</v>
      </c>
      <c r="E13" s="65">
        <v>1198</v>
      </c>
      <c r="F13" s="66">
        <v>368</v>
      </c>
      <c r="G13" s="67">
        <v>695</v>
      </c>
      <c r="H13" s="68">
        <v>628</v>
      </c>
      <c r="I13" s="65">
        <v>698</v>
      </c>
      <c r="J13" s="66">
        <v>689</v>
      </c>
      <c r="K13" s="68">
        <v>870</v>
      </c>
      <c r="L13" s="65">
        <v>609</v>
      </c>
      <c r="M13" s="66">
        <v>381</v>
      </c>
      <c r="N13" s="67">
        <v>1107</v>
      </c>
      <c r="O13" s="68">
        <v>286</v>
      </c>
      <c r="P13" s="65">
        <v>579</v>
      </c>
      <c r="Q13" s="66">
        <v>1022</v>
      </c>
      <c r="R13" s="68">
        <v>671</v>
      </c>
      <c r="S13" s="65">
        <v>684</v>
      </c>
      <c r="T13" s="66">
        <v>633</v>
      </c>
      <c r="U13" s="67">
        <v>750</v>
      </c>
      <c r="V13" s="68">
        <v>364</v>
      </c>
      <c r="W13" s="65">
        <v>231</v>
      </c>
      <c r="X13" s="64">
        <v>1919</v>
      </c>
      <c r="Y13" s="65">
        <v>427</v>
      </c>
      <c r="Z13" s="66">
        <v>1469</v>
      </c>
      <c r="AA13" s="69">
        <v>834</v>
      </c>
    </row>
    <row r="14" spans="1:27" ht="24" customHeight="1" x14ac:dyDescent="0.35">
      <c r="B14" s="225"/>
      <c r="C14" s="49">
        <v>0.09</v>
      </c>
      <c r="D14" s="50">
        <v>0.09</v>
      </c>
      <c r="E14" s="51">
        <v>0.09</v>
      </c>
      <c r="F14" s="50">
        <v>0.1</v>
      </c>
      <c r="G14" s="51">
        <v>0.11</v>
      </c>
      <c r="H14" s="51">
        <v>0.09</v>
      </c>
      <c r="I14" s="51">
        <v>7.0000000000000007E-2</v>
      </c>
      <c r="J14" s="50">
        <v>0.12</v>
      </c>
      <c r="K14" s="51">
        <v>0.08</v>
      </c>
      <c r="L14" s="51">
        <v>0.08</v>
      </c>
      <c r="M14" s="50">
        <v>0.14000000000000001</v>
      </c>
      <c r="N14" s="51">
        <v>0.09</v>
      </c>
      <c r="O14" s="51">
        <v>0.11</v>
      </c>
      <c r="P14" s="51">
        <v>7.0000000000000007E-2</v>
      </c>
      <c r="Q14" s="50">
        <v>0.09</v>
      </c>
      <c r="R14" s="51">
        <v>7.0000000000000007E-2</v>
      </c>
      <c r="S14" s="51">
        <v>0.1</v>
      </c>
      <c r="T14" s="50">
        <v>0.09</v>
      </c>
      <c r="U14" s="51">
        <v>7.0000000000000007E-2</v>
      </c>
      <c r="V14" s="51">
        <v>0.09</v>
      </c>
      <c r="W14" s="51">
        <v>0.09</v>
      </c>
      <c r="X14" s="50">
        <v>0.1</v>
      </c>
      <c r="Y14" s="51">
        <v>0.06</v>
      </c>
      <c r="Z14" s="50">
        <v>0.13</v>
      </c>
      <c r="AA14" s="52">
        <v>0.06</v>
      </c>
    </row>
    <row r="15" spans="1:27" s="93" customFormat="1" ht="21" customHeight="1" x14ac:dyDescent="0.35">
      <c r="A15" s="65"/>
      <c r="B15" s="228" t="s">
        <v>69</v>
      </c>
      <c r="C15" s="63">
        <v>6237</v>
      </c>
      <c r="D15" s="70">
        <v>3160</v>
      </c>
      <c r="E15" s="65">
        <v>3058</v>
      </c>
      <c r="F15" s="71">
        <v>872</v>
      </c>
      <c r="G15" s="72">
        <v>1516</v>
      </c>
      <c r="H15" s="73">
        <v>1531</v>
      </c>
      <c r="I15" s="65">
        <v>2317</v>
      </c>
      <c r="J15" s="71">
        <v>1508</v>
      </c>
      <c r="K15" s="73">
        <v>2313</v>
      </c>
      <c r="L15" s="65">
        <v>1926</v>
      </c>
      <c r="M15" s="71">
        <v>689</v>
      </c>
      <c r="N15" s="72">
        <v>3155</v>
      </c>
      <c r="O15" s="73">
        <v>635</v>
      </c>
      <c r="P15" s="65">
        <v>1698</v>
      </c>
      <c r="Q15" s="71">
        <v>2577</v>
      </c>
      <c r="R15" s="73">
        <v>2160</v>
      </c>
      <c r="S15" s="65">
        <v>1490</v>
      </c>
      <c r="T15" s="71">
        <v>1451</v>
      </c>
      <c r="U15" s="72">
        <v>2243</v>
      </c>
      <c r="V15" s="73">
        <v>1029</v>
      </c>
      <c r="W15" s="65">
        <v>700</v>
      </c>
      <c r="X15" s="70">
        <v>4525</v>
      </c>
      <c r="Y15" s="65">
        <v>1596</v>
      </c>
      <c r="Z15" s="71">
        <v>2967</v>
      </c>
      <c r="AA15" s="74">
        <v>3044</v>
      </c>
    </row>
    <row r="16" spans="1:27" ht="24" customHeight="1" x14ac:dyDescent="0.35">
      <c r="B16" s="225"/>
      <c r="C16" s="49">
        <v>0.23</v>
      </c>
      <c r="D16" s="50">
        <v>0.24000000000000002</v>
      </c>
      <c r="E16" s="51">
        <v>0.21</v>
      </c>
      <c r="F16" s="50">
        <v>0.24999999999999997</v>
      </c>
      <c r="G16" s="51">
        <v>0.24</v>
      </c>
      <c r="H16" s="51">
        <v>0.23</v>
      </c>
      <c r="I16" s="51">
        <v>0.21000000000000002</v>
      </c>
      <c r="J16" s="50">
        <v>0.25</v>
      </c>
      <c r="K16" s="51">
        <v>0.20999999999999996</v>
      </c>
      <c r="L16" s="51">
        <v>0.24</v>
      </c>
      <c r="M16" s="50">
        <v>0.25</v>
      </c>
      <c r="N16" s="51">
        <v>0.24000000000000002</v>
      </c>
      <c r="O16" s="51">
        <v>0.23000000000000004</v>
      </c>
      <c r="P16" s="51">
        <v>0.2</v>
      </c>
      <c r="Q16" s="50">
        <v>0.24000000000000002</v>
      </c>
      <c r="R16" s="51">
        <v>0.22999999999999998</v>
      </c>
      <c r="S16" s="51">
        <v>0.22</v>
      </c>
      <c r="T16" s="50">
        <v>0.21</v>
      </c>
      <c r="U16" s="51">
        <v>0.22999999999999998</v>
      </c>
      <c r="V16" s="51">
        <v>0.27</v>
      </c>
      <c r="W16" s="51">
        <v>0.25</v>
      </c>
      <c r="X16" s="50">
        <v>0.24999999999999997</v>
      </c>
      <c r="Y16" s="51">
        <v>0.21000000000000002</v>
      </c>
      <c r="Z16" s="50">
        <v>0.25</v>
      </c>
      <c r="AA16" s="52">
        <v>0.22000000000000003</v>
      </c>
    </row>
    <row r="17" spans="1:27" s="93" customFormat="1" ht="21" customHeight="1" x14ac:dyDescent="0.35">
      <c r="A17" s="65"/>
      <c r="B17" s="228" t="s">
        <v>70</v>
      </c>
      <c r="C17" s="63">
        <v>7953</v>
      </c>
      <c r="D17" s="70">
        <v>4242</v>
      </c>
      <c r="E17" s="65">
        <v>3673</v>
      </c>
      <c r="F17" s="71">
        <v>978</v>
      </c>
      <c r="G17" s="72">
        <v>1838</v>
      </c>
      <c r="H17" s="73">
        <v>1988</v>
      </c>
      <c r="I17" s="65">
        <v>3149</v>
      </c>
      <c r="J17" s="71">
        <v>1539</v>
      </c>
      <c r="K17" s="73">
        <v>3241</v>
      </c>
      <c r="L17" s="65">
        <v>2550</v>
      </c>
      <c r="M17" s="71">
        <v>778</v>
      </c>
      <c r="N17" s="72">
        <v>3990</v>
      </c>
      <c r="O17" s="73">
        <v>732</v>
      </c>
      <c r="P17" s="65">
        <v>2358</v>
      </c>
      <c r="Q17" s="71">
        <v>3057</v>
      </c>
      <c r="R17" s="73">
        <v>2915</v>
      </c>
      <c r="S17" s="65">
        <v>1966</v>
      </c>
      <c r="T17" s="71">
        <v>1998</v>
      </c>
      <c r="U17" s="72">
        <v>3137</v>
      </c>
      <c r="V17" s="73">
        <v>1101</v>
      </c>
      <c r="W17" s="65">
        <v>791</v>
      </c>
      <c r="X17" s="70">
        <v>5399</v>
      </c>
      <c r="Y17" s="65">
        <v>2384</v>
      </c>
      <c r="Z17" s="71">
        <v>3161</v>
      </c>
      <c r="AA17" s="74">
        <v>4473</v>
      </c>
    </row>
    <row r="18" spans="1:27" ht="24" customHeight="1" x14ac:dyDescent="0.35">
      <c r="B18" s="225"/>
      <c r="C18" s="49">
        <v>0.28999999999999998</v>
      </c>
      <c r="D18" s="50">
        <v>0.32</v>
      </c>
      <c r="E18" s="51">
        <v>0.26000000000000006</v>
      </c>
      <c r="F18" s="50">
        <v>0.28000000000000003</v>
      </c>
      <c r="G18" s="51">
        <v>0.30000000000000004</v>
      </c>
      <c r="H18" s="51">
        <v>0.28999999999999998</v>
      </c>
      <c r="I18" s="51">
        <v>0.29999999999999993</v>
      </c>
      <c r="J18" s="50">
        <v>0.25</v>
      </c>
      <c r="K18" s="51">
        <v>0.3</v>
      </c>
      <c r="L18" s="51">
        <v>0.33</v>
      </c>
      <c r="M18" s="50">
        <v>0.28000000000000003</v>
      </c>
      <c r="N18" s="51">
        <v>0.31</v>
      </c>
      <c r="O18" s="51">
        <v>0.26999999999999996</v>
      </c>
      <c r="P18" s="51">
        <v>0.27</v>
      </c>
      <c r="Q18" s="50">
        <v>0.27999999999999997</v>
      </c>
      <c r="R18" s="51">
        <v>0.31</v>
      </c>
      <c r="S18" s="51">
        <v>0.27999999999999997</v>
      </c>
      <c r="T18" s="50">
        <v>0.27999999999999997</v>
      </c>
      <c r="U18" s="51">
        <v>0.31</v>
      </c>
      <c r="V18" s="51">
        <v>0.28000000000000003</v>
      </c>
      <c r="W18" s="51">
        <v>0.3</v>
      </c>
      <c r="X18" s="50">
        <v>0.29000000000000004</v>
      </c>
      <c r="Y18" s="51">
        <v>0.31999999999999995</v>
      </c>
      <c r="Z18" s="50">
        <v>0.28000000000000003</v>
      </c>
      <c r="AA18" s="52">
        <v>0.31999999999999995</v>
      </c>
    </row>
    <row r="19" spans="1:27" s="93" customFormat="1" ht="21" customHeight="1" x14ac:dyDescent="0.35">
      <c r="A19" s="65"/>
      <c r="B19" s="228" t="s">
        <v>71</v>
      </c>
      <c r="C19" s="63">
        <v>4243</v>
      </c>
      <c r="D19" s="70">
        <v>2339</v>
      </c>
      <c r="E19" s="65">
        <v>1888</v>
      </c>
      <c r="F19" s="71">
        <v>545</v>
      </c>
      <c r="G19" s="72">
        <v>924</v>
      </c>
      <c r="H19" s="73">
        <v>1090</v>
      </c>
      <c r="I19" s="65">
        <v>1684</v>
      </c>
      <c r="J19" s="71">
        <v>897</v>
      </c>
      <c r="K19" s="73">
        <v>1697</v>
      </c>
      <c r="L19" s="65">
        <v>1294</v>
      </c>
      <c r="M19" s="71">
        <v>389</v>
      </c>
      <c r="N19" s="72">
        <v>2128</v>
      </c>
      <c r="O19" s="73">
        <v>453</v>
      </c>
      <c r="P19" s="65">
        <v>1223</v>
      </c>
      <c r="Q19" s="71">
        <v>1741</v>
      </c>
      <c r="R19" s="73">
        <v>1491</v>
      </c>
      <c r="S19" s="65">
        <v>997</v>
      </c>
      <c r="T19" s="71">
        <v>1090</v>
      </c>
      <c r="U19" s="72">
        <v>1695</v>
      </c>
      <c r="V19" s="73">
        <v>587</v>
      </c>
      <c r="W19" s="65">
        <v>414</v>
      </c>
      <c r="X19" s="70">
        <v>2630</v>
      </c>
      <c r="Y19" s="65">
        <v>1534</v>
      </c>
      <c r="Z19" s="71">
        <v>1555</v>
      </c>
      <c r="AA19" s="74">
        <v>2492</v>
      </c>
    </row>
    <row r="20" spans="1:27" ht="24" customHeight="1" x14ac:dyDescent="0.35">
      <c r="B20" s="225"/>
      <c r="C20" s="49">
        <v>0.15000000000000002</v>
      </c>
      <c r="D20" s="50">
        <v>0.17999999999999994</v>
      </c>
      <c r="E20" s="51">
        <v>0.1399999999999999</v>
      </c>
      <c r="F20" s="50">
        <v>0.15000000000000002</v>
      </c>
      <c r="G20" s="51">
        <v>0.14000000000000001</v>
      </c>
      <c r="H20" s="51">
        <v>0.16000000000000003</v>
      </c>
      <c r="I20" s="51">
        <v>0.16000000000000003</v>
      </c>
      <c r="J20" s="50">
        <v>0.15000000000000002</v>
      </c>
      <c r="K20" s="51">
        <v>0.16000000000000003</v>
      </c>
      <c r="L20" s="51">
        <v>0.16000000000000003</v>
      </c>
      <c r="M20" s="50">
        <v>0.14000000000000001</v>
      </c>
      <c r="N20" s="51">
        <v>0.17000000000000004</v>
      </c>
      <c r="O20" s="51">
        <v>0.16000000000000003</v>
      </c>
      <c r="P20" s="51">
        <v>0.14999999999999991</v>
      </c>
      <c r="Q20" s="50">
        <v>0.16000000000000003</v>
      </c>
      <c r="R20" s="51">
        <v>0.16000000000000003</v>
      </c>
      <c r="S20" s="51">
        <v>0.15000000000000002</v>
      </c>
      <c r="T20" s="50">
        <v>0.16000000000000003</v>
      </c>
      <c r="U20" s="51">
        <v>0.16000000000000003</v>
      </c>
      <c r="V20" s="51">
        <v>0.15000000000000002</v>
      </c>
      <c r="W20" s="51">
        <v>0.15000000000000002</v>
      </c>
      <c r="X20" s="50">
        <v>0.14000000000000001</v>
      </c>
      <c r="Y20" s="51">
        <v>0.20000000000000007</v>
      </c>
      <c r="Z20" s="50">
        <v>0.13</v>
      </c>
      <c r="AA20" s="52">
        <v>0.18000000000000005</v>
      </c>
    </row>
    <row r="21" spans="1:27" s="93" customFormat="1" ht="21" customHeight="1" x14ac:dyDescent="0.35">
      <c r="A21" s="65"/>
      <c r="B21" s="228" t="s">
        <v>72</v>
      </c>
      <c r="C21" s="63">
        <v>2907</v>
      </c>
      <c r="D21" s="70">
        <v>1085</v>
      </c>
      <c r="E21" s="65">
        <v>1803</v>
      </c>
      <c r="F21" s="71">
        <v>424</v>
      </c>
      <c r="G21" s="72">
        <v>651</v>
      </c>
      <c r="H21" s="73">
        <v>653</v>
      </c>
      <c r="I21" s="65">
        <v>1178</v>
      </c>
      <c r="J21" s="71">
        <v>645</v>
      </c>
      <c r="K21" s="73">
        <v>1194</v>
      </c>
      <c r="L21" s="65">
        <v>704</v>
      </c>
      <c r="M21" s="71">
        <v>237</v>
      </c>
      <c r="N21" s="72">
        <v>1115</v>
      </c>
      <c r="O21" s="73">
        <v>275</v>
      </c>
      <c r="P21" s="65">
        <v>1216</v>
      </c>
      <c r="Q21" s="71">
        <v>1260</v>
      </c>
      <c r="R21" s="73">
        <v>905</v>
      </c>
      <c r="S21" s="65">
        <v>721</v>
      </c>
      <c r="T21" s="71">
        <v>891</v>
      </c>
      <c r="U21" s="72">
        <v>965</v>
      </c>
      <c r="V21" s="73">
        <v>398</v>
      </c>
      <c r="W21" s="65">
        <v>255</v>
      </c>
      <c r="X21" s="70">
        <v>1951</v>
      </c>
      <c r="Y21" s="65">
        <v>745</v>
      </c>
      <c r="Z21" s="71">
        <v>1188</v>
      </c>
      <c r="AA21" s="74">
        <v>1438</v>
      </c>
    </row>
    <row r="22" spans="1:27" ht="24" customHeight="1" x14ac:dyDescent="0.35">
      <c r="B22" s="225"/>
      <c r="C22" s="49">
        <v>0.10999999999999999</v>
      </c>
      <c r="D22" s="50">
        <v>9.000000000000008E-2</v>
      </c>
      <c r="E22" s="51">
        <v>0.13</v>
      </c>
      <c r="F22" s="50">
        <v>0.12</v>
      </c>
      <c r="G22" s="51">
        <v>0.10999999999999999</v>
      </c>
      <c r="H22" s="51">
        <v>8.9999999999999969E-2</v>
      </c>
      <c r="I22" s="51">
        <v>0.10999999999999999</v>
      </c>
      <c r="J22" s="50">
        <v>0.10999999999999999</v>
      </c>
      <c r="K22" s="51">
        <v>0.10999999999999999</v>
      </c>
      <c r="L22" s="51">
        <v>8.9999999999999969E-2</v>
      </c>
      <c r="M22" s="50">
        <v>8.9999999999999969E-2</v>
      </c>
      <c r="N22" s="51">
        <v>7.999999999999996E-2</v>
      </c>
      <c r="O22" s="51">
        <v>9.9999999999999978E-2</v>
      </c>
      <c r="P22" s="51">
        <v>0.14000000000000001</v>
      </c>
      <c r="Q22" s="50">
        <v>0.10999999999999999</v>
      </c>
      <c r="R22" s="51">
        <v>9.9999999999999978E-2</v>
      </c>
      <c r="S22" s="51">
        <v>9.9999999999999978E-2</v>
      </c>
      <c r="T22" s="50">
        <v>0.12</v>
      </c>
      <c r="U22" s="51">
        <v>9.9999999999999978E-2</v>
      </c>
      <c r="V22" s="51">
        <v>9.9999999999999978E-2</v>
      </c>
      <c r="W22" s="51">
        <v>8.9999999999999969E-2</v>
      </c>
      <c r="X22" s="50">
        <v>9.9999999999999978E-2</v>
      </c>
      <c r="Y22" s="51">
        <v>9.9999999999999978E-2</v>
      </c>
      <c r="Z22" s="50">
        <v>9.9999999999999978E-2</v>
      </c>
      <c r="AA22" s="52">
        <v>9.9999999999999978E-2</v>
      </c>
    </row>
    <row r="23" spans="1:27" s="93" customFormat="1" ht="21" customHeight="1" x14ac:dyDescent="0.35">
      <c r="A23" s="65"/>
      <c r="B23" s="228" t="s">
        <v>55</v>
      </c>
      <c r="C23" s="63">
        <v>3564</v>
      </c>
      <c r="D23" s="70">
        <v>1112</v>
      </c>
      <c r="E23" s="65">
        <v>2436</v>
      </c>
      <c r="F23" s="71">
        <v>348</v>
      </c>
      <c r="G23" s="72">
        <v>647</v>
      </c>
      <c r="H23" s="73">
        <v>952</v>
      </c>
      <c r="I23" s="65">
        <v>1617</v>
      </c>
      <c r="J23" s="71">
        <v>710</v>
      </c>
      <c r="K23" s="73">
        <v>1483</v>
      </c>
      <c r="L23" s="65">
        <v>771</v>
      </c>
      <c r="M23" s="71">
        <v>290</v>
      </c>
      <c r="N23" s="72">
        <v>1352</v>
      </c>
      <c r="O23" s="73">
        <v>343</v>
      </c>
      <c r="P23" s="65">
        <v>1443</v>
      </c>
      <c r="Q23" s="71">
        <v>1282</v>
      </c>
      <c r="R23" s="73">
        <v>1227</v>
      </c>
      <c r="S23" s="65">
        <v>994</v>
      </c>
      <c r="T23" s="71">
        <v>950</v>
      </c>
      <c r="U23" s="72">
        <v>1309</v>
      </c>
      <c r="V23" s="73">
        <v>440</v>
      </c>
      <c r="W23" s="65">
        <v>318</v>
      </c>
      <c r="X23" s="70">
        <v>2143</v>
      </c>
      <c r="Y23" s="65">
        <v>823</v>
      </c>
      <c r="Z23" s="71">
        <v>1229</v>
      </c>
      <c r="AA23" s="74">
        <v>1620</v>
      </c>
    </row>
    <row r="24" spans="1:27" ht="24" customHeight="1" thickBot="1" x14ac:dyDescent="0.4">
      <c r="B24" s="229"/>
      <c r="C24" s="53">
        <v>0.13</v>
      </c>
      <c r="D24" s="54">
        <v>7.999999999999996E-2</v>
      </c>
      <c r="E24" s="55">
        <v>0.17000000000000004</v>
      </c>
      <c r="F24" s="56">
        <v>9.9999999999999978E-2</v>
      </c>
      <c r="G24" s="57">
        <v>9.9999999999999978E-2</v>
      </c>
      <c r="H24" s="58">
        <v>0.14000000000000001</v>
      </c>
      <c r="I24" s="55">
        <v>0.15000000000000002</v>
      </c>
      <c r="J24" s="56">
        <v>0.12</v>
      </c>
      <c r="K24" s="58">
        <v>0.14000000000000001</v>
      </c>
      <c r="L24" s="55">
        <v>9.9999999999999978E-2</v>
      </c>
      <c r="M24" s="56">
        <v>9.9999999999999978E-2</v>
      </c>
      <c r="N24" s="57">
        <v>0.10999999999999999</v>
      </c>
      <c r="O24" s="58">
        <v>0.13</v>
      </c>
      <c r="P24" s="55">
        <v>0.17000000000000004</v>
      </c>
      <c r="Q24" s="56">
        <v>0.12</v>
      </c>
      <c r="R24" s="58">
        <v>0.13</v>
      </c>
      <c r="S24" s="55">
        <v>0.15000000000000002</v>
      </c>
      <c r="T24" s="56">
        <v>0.14000000000000001</v>
      </c>
      <c r="U24" s="57">
        <v>0.13</v>
      </c>
      <c r="V24" s="58">
        <v>0.10999999999999999</v>
      </c>
      <c r="W24" s="55">
        <v>0.12</v>
      </c>
      <c r="X24" s="54">
        <v>0.12</v>
      </c>
      <c r="Y24" s="55">
        <v>0.10999999999999999</v>
      </c>
      <c r="Z24" s="56">
        <v>0.10999999999999999</v>
      </c>
      <c r="AA24" s="52">
        <v>0.12</v>
      </c>
    </row>
    <row r="25" spans="1:27" s="93" customFormat="1" ht="21" customHeight="1" x14ac:dyDescent="0.35">
      <c r="A25" s="65"/>
      <c r="B25" s="230" t="s">
        <v>413</v>
      </c>
      <c r="C25" s="75">
        <v>8626</v>
      </c>
      <c r="D25" s="76">
        <v>4339</v>
      </c>
      <c r="E25" s="77">
        <v>4256</v>
      </c>
      <c r="F25" s="78">
        <v>1241</v>
      </c>
      <c r="G25" s="79">
        <v>2210</v>
      </c>
      <c r="H25" s="80">
        <v>2160</v>
      </c>
      <c r="I25" s="77">
        <v>3015</v>
      </c>
      <c r="J25" s="78">
        <v>2196</v>
      </c>
      <c r="K25" s="80">
        <v>3183</v>
      </c>
      <c r="L25" s="77">
        <v>2536</v>
      </c>
      <c r="M25" s="78">
        <v>1070</v>
      </c>
      <c r="N25" s="79">
        <v>4261</v>
      </c>
      <c r="O25" s="80">
        <v>921</v>
      </c>
      <c r="P25" s="77">
        <v>2278</v>
      </c>
      <c r="Q25" s="78">
        <v>3599</v>
      </c>
      <c r="R25" s="80">
        <v>2831</v>
      </c>
      <c r="S25" s="77">
        <v>2174</v>
      </c>
      <c r="T25" s="78">
        <v>2084</v>
      </c>
      <c r="U25" s="79">
        <v>2993</v>
      </c>
      <c r="V25" s="80">
        <v>1393</v>
      </c>
      <c r="W25" s="77">
        <v>931</v>
      </c>
      <c r="X25" s="76">
        <v>6444</v>
      </c>
      <c r="Y25" s="77">
        <v>2023</v>
      </c>
      <c r="Z25" s="78">
        <v>4437</v>
      </c>
      <c r="AA25" s="81">
        <v>3878</v>
      </c>
    </row>
    <row r="26" spans="1:27" ht="24" customHeight="1" x14ac:dyDescent="0.35">
      <c r="B26" s="231"/>
      <c r="C26" s="49">
        <v>0.32</v>
      </c>
      <c r="D26" s="50">
        <v>0.33</v>
      </c>
      <c r="E26" s="51">
        <v>0.3</v>
      </c>
      <c r="F26" s="50">
        <v>0.35</v>
      </c>
      <c r="G26" s="51">
        <v>0.35</v>
      </c>
      <c r="H26" s="51">
        <v>0.32</v>
      </c>
      <c r="I26" s="51">
        <v>0.28000000000000003</v>
      </c>
      <c r="J26" s="50">
        <v>0.37</v>
      </c>
      <c r="K26" s="51">
        <v>0.28999999999999998</v>
      </c>
      <c r="L26" s="51">
        <v>0.32</v>
      </c>
      <c r="M26" s="50">
        <v>0.39</v>
      </c>
      <c r="N26" s="51">
        <v>0.33</v>
      </c>
      <c r="O26" s="51">
        <v>0.34</v>
      </c>
      <c r="P26" s="51">
        <v>0.27</v>
      </c>
      <c r="Q26" s="50">
        <v>0.33</v>
      </c>
      <c r="R26" s="51">
        <v>0.3</v>
      </c>
      <c r="S26" s="51">
        <v>0.32</v>
      </c>
      <c r="T26" s="50">
        <v>0.3</v>
      </c>
      <c r="U26" s="51">
        <v>0.3</v>
      </c>
      <c r="V26" s="51">
        <v>0.36</v>
      </c>
      <c r="W26" s="51">
        <v>0.34</v>
      </c>
      <c r="X26" s="50">
        <v>0.35</v>
      </c>
      <c r="Y26" s="51">
        <v>0.27</v>
      </c>
      <c r="Z26" s="50">
        <v>0.38</v>
      </c>
      <c r="AA26" s="52">
        <v>0.28000000000000003</v>
      </c>
    </row>
    <row r="27" spans="1:27" ht="20.25" customHeight="1" x14ac:dyDescent="0.35">
      <c r="B27" s="226" t="s">
        <v>414</v>
      </c>
      <c r="C27" s="63">
        <v>12196</v>
      </c>
      <c r="D27" s="95">
        <v>6581</v>
      </c>
      <c r="E27" s="96">
        <v>5561</v>
      </c>
      <c r="F27" s="97">
        <v>1523</v>
      </c>
      <c r="G27" s="98">
        <v>2762</v>
      </c>
      <c r="H27" s="99">
        <v>3078</v>
      </c>
      <c r="I27" s="96">
        <v>4833</v>
      </c>
      <c r="J27" s="97">
        <v>2435</v>
      </c>
      <c r="K27" s="99">
        <v>4939</v>
      </c>
      <c r="L27" s="96">
        <v>3844</v>
      </c>
      <c r="M27" s="97">
        <v>1167</v>
      </c>
      <c r="N27" s="98">
        <v>6117</v>
      </c>
      <c r="O27" s="99">
        <v>1185</v>
      </c>
      <c r="P27" s="96">
        <v>3581</v>
      </c>
      <c r="Q27" s="97">
        <v>4799</v>
      </c>
      <c r="R27" s="99">
        <v>4406</v>
      </c>
      <c r="S27" s="96">
        <v>2962</v>
      </c>
      <c r="T27" s="97">
        <v>3088</v>
      </c>
      <c r="U27" s="98">
        <v>4831</v>
      </c>
      <c r="V27" s="99">
        <v>1688</v>
      </c>
      <c r="W27" s="96">
        <v>1205</v>
      </c>
      <c r="X27" s="95">
        <v>8029</v>
      </c>
      <c r="Y27" s="96">
        <v>3918</v>
      </c>
      <c r="Z27" s="97">
        <v>4716</v>
      </c>
      <c r="AA27" s="100">
        <v>6965</v>
      </c>
    </row>
    <row r="28" spans="1:27" ht="24.75" customHeight="1" thickBot="1" x14ac:dyDescent="0.4">
      <c r="B28" s="227"/>
      <c r="C28" s="59">
        <v>0.44</v>
      </c>
      <c r="D28" s="23">
        <v>0.49999999999999994</v>
      </c>
      <c r="E28" s="24">
        <v>0.39999999999999997</v>
      </c>
      <c r="F28" s="23">
        <v>0.43000000000000005</v>
      </c>
      <c r="G28" s="24">
        <v>0.44000000000000006</v>
      </c>
      <c r="H28" s="24">
        <v>0.45</v>
      </c>
      <c r="I28" s="24">
        <v>0.45999999999999996</v>
      </c>
      <c r="J28" s="23">
        <v>0.4</v>
      </c>
      <c r="K28" s="24">
        <v>0.46</v>
      </c>
      <c r="L28" s="24">
        <v>0.49000000000000005</v>
      </c>
      <c r="M28" s="23">
        <v>0.42000000000000004</v>
      </c>
      <c r="N28" s="24">
        <v>0.48000000000000004</v>
      </c>
      <c r="O28" s="24">
        <v>0.43</v>
      </c>
      <c r="P28" s="24">
        <v>0.41999999999999993</v>
      </c>
      <c r="Q28" s="23">
        <v>0.44</v>
      </c>
      <c r="R28" s="24">
        <v>0.47000000000000003</v>
      </c>
      <c r="S28" s="24">
        <v>0.43</v>
      </c>
      <c r="T28" s="23">
        <v>0.44</v>
      </c>
      <c r="U28" s="24">
        <v>0.47000000000000003</v>
      </c>
      <c r="V28" s="24">
        <v>0.43000000000000005</v>
      </c>
      <c r="W28" s="24">
        <v>0.45</v>
      </c>
      <c r="X28" s="23">
        <v>0.43000000000000005</v>
      </c>
      <c r="Y28" s="24">
        <v>0.52</v>
      </c>
      <c r="Z28" s="23">
        <v>0.41000000000000003</v>
      </c>
      <c r="AA28" s="33">
        <v>0.5</v>
      </c>
    </row>
    <row r="29" spans="1:27" x14ac:dyDescent="0.35">
      <c r="B29" s="1"/>
    </row>
    <row r="30" spans="1:27" ht="24" customHeight="1" x14ac:dyDescent="0.35"/>
  </sheetData>
  <mergeCells count="16">
    <mergeCell ref="B25:B26"/>
    <mergeCell ref="B27:B28"/>
    <mergeCell ref="B15:B16"/>
    <mergeCell ref="B17:B18"/>
    <mergeCell ref="B19:B20"/>
    <mergeCell ref="B21:B22"/>
    <mergeCell ref="B23:B24"/>
    <mergeCell ref="T9:W9"/>
    <mergeCell ref="X9:Y9"/>
    <mergeCell ref="Z9:AA9"/>
    <mergeCell ref="B13:B14"/>
    <mergeCell ref="D9:E9"/>
    <mergeCell ref="F9:I9"/>
    <mergeCell ref="J9:L9"/>
    <mergeCell ref="M9:P9"/>
    <mergeCell ref="Q9:S9"/>
  </mergeCells>
  <hyperlinks>
    <hyperlink ref="B1" location="'Table of Contents'!A1" display="Home" xr:uid="{598D3E3C-8ABA-3042-B1A5-8E5D5F1DF4C9}"/>
  </hyperlinks>
  <pageMargins left="0.7" right="0.7" top="0.75" bottom="0.75" header="0.511811023622047" footer="0.511811023622047"/>
  <pageSetup paperSize="9" orientation="portrait" useFirstPageNumber="1"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9"/>
  <dimension ref="A1:AA32"/>
  <sheetViews>
    <sheetView showGridLines="0" zoomScale="60" zoomScaleNormal="60" workbookViewId="0"/>
  </sheetViews>
  <sheetFormatPr defaultColWidth="20.6328125" defaultRowHeight="19" customHeight="1" x14ac:dyDescent="0.35"/>
  <cols>
    <col min="1" max="1" width="8.81640625" style="1" customWidth="1"/>
    <col min="2" max="2" width="100.6328125" style="3" customWidth="1"/>
    <col min="3" max="3" width="20.6328125" style="2"/>
    <col min="4" max="27" width="20.6328125" style="1"/>
    <col min="28" max="16384" width="20.6328125" style="87"/>
  </cols>
  <sheetData>
    <row r="1" spans="1:27" x14ac:dyDescent="0.35">
      <c r="B1" s="37" t="s">
        <v>0</v>
      </c>
    </row>
    <row r="2" spans="1:27" x14ac:dyDescent="0.35">
      <c r="B2" s="3" t="s">
        <v>442</v>
      </c>
    </row>
    <row r="3" spans="1:27" s="88" customFormat="1" x14ac:dyDescent="0.35">
      <c r="A3" s="2"/>
      <c r="B3" s="3" t="s">
        <v>1</v>
      </c>
      <c r="C3" s="2"/>
      <c r="D3" s="2"/>
      <c r="E3" s="2"/>
      <c r="F3" s="2"/>
      <c r="G3" s="2"/>
      <c r="H3" s="2"/>
      <c r="I3" s="2"/>
      <c r="J3" s="2"/>
      <c r="K3" s="2"/>
      <c r="L3" s="2"/>
      <c r="M3" s="2"/>
      <c r="N3" s="2"/>
      <c r="O3" s="2"/>
      <c r="P3" s="2"/>
      <c r="Q3" s="2"/>
      <c r="R3" s="2"/>
      <c r="S3" s="2"/>
      <c r="T3" s="2"/>
      <c r="U3" s="2"/>
      <c r="V3" s="2"/>
      <c r="W3" s="2"/>
      <c r="X3" s="2"/>
      <c r="Y3" s="2"/>
      <c r="Z3" s="2"/>
      <c r="AA3" s="2"/>
    </row>
    <row r="4" spans="1:27" x14ac:dyDescent="0.35">
      <c r="B4" s="3" t="s">
        <v>2</v>
      </c>
    </row>
    <row r="6" spans="1:27" s="88" customFormat="1" ht="19" customHeight="1" x14ac:dyDescent="0.35">
      <c r="A6" s="2"/>
      <c r="B6" s="28" t="s">
        <v>74</v>
      </c>
      <c r="C6" s="2"/>
      <c r="D6" s="2"/>
      <c r="E6" s="2"/>
      <c r="F6" s="2"/>
      <c r="G6" s="2"/>
      <c r="H6" s="2"/>
      <c r="I6" s="2"/>
      <c r="J6" s="2"/>
      <c r="K6" s="2"/>
      <c r="L6" s="2"/>
      <c r="M6" s="2"/>
      <c r="N6" s="2"/>
      <c r="O6" s="2"/>
      <c r="P6" s="2"/>
      <c r="Q6" s="2"/>
      <c r="R6" s="2"/>
      <c r="S6" s="2"/>
      <c r="T6" s="2"/>
      <c r="U6" s="2"/>
      <c r="V6" s="2"/>
      <c r="W6" s="2"/>
      <c r="X6" s="2"/>
      <c r="Y6" s="2"/>
      <c r="Z6" s="2"/>
      <c r="AA6" s="2"/>
    </row>
    <row r="7" spans="1:27" ht="19.5" customHeight="1" x14ac:dyDescent="0.35">
      <c r="B7" s="215" t="s">
        <v>415</v>
      </c>
    </row>
    <row r="8" spans="1:27" ht="19" customHeight="1" thickBot="1" x14ac:dyDescent="0.4">
      <c r="A8" s="2"/>
    </row>
    <row r="9" spans="1:27" s="89" customFormat="1" ht="19.5" customHeight="1" x14ac:dyDescent="0.4">
      <c r="A9" s="2"/>
      <c r="B9" s="5"/>
      <c r="C9" s="6" t="s">
        <v>21</v>
      </c>
      <c r="D9" s="221" t="s">
        <v>22</v>
      </c>
      <c r="E9" s="222"/>
      <c r="F9" s="221" t="s">
        <v>23</v>
      </c>
      <c r="G9" s="222"/>
      <c r="H9" s="222"/>
      <c r="I9" s="222"/>
      <c r="J9" s="221" t="s">
        <v>24</v>
      </c>
      <c r="K9" s="222"/>
      <c r="L9" s="222"/>
      <c r="M9" s="221" t="s">
        <v>25</v>
      </c>
      <c r="N9" s="222"/>
      <c r="O9" s="222"/>
      <c r="P9" s="222"/>
      <c r="Q9" s="221" t="s">
        <v>26</v>
      </c>
      <c r="R9" s="222"/>
      <c r="S9" s="222"/>
      <c r="T9" s="221" t="s">
        <v>27</v>
      </c>
      <c r="U9" s="222"/>
      <c r="V9" s="222"/>
      <c r="W9" s="222"/>
      <c r="X9" s="221" t="s">
        <v>28</v>
      </c>
      <c r="Y9" s="222"/>
      <c r="Z9" s="221" t="s">
        <v>29</v>
      </c>
      <c r="AA9" s="223"/>
    </row>
    <row r="10" spans="1:27" s="89" customFormat="1" ht="57" customHeight="1" thickBot="1" x14ac:dyDescent="0.45">
      <c r="A10" s="2"/>
      <c r="B10" s="91"/>
      <c r="C10" s="7" t="e" vm="1">
        <v>#VALUE!</v>
      </c>
      <c r="D10" s="8" t="s">
        <v>30</v>
      </c>
      <c r="E10" s="9" t="s">
        <v>31</v>
      </c>
      <c r="F10" s="10" t="s">
        <v>32</v>
      </c>
      <c r="G10" s="11" t="s">
        <v>33</v>
      </c>
      <c r="H10" s="12" t="s">
        <v>34</v>
      </c>
      <c r="I10" s="9" t="s">
        <v>35</v>
      </c>
      <c r="J10" s="10" t="s">
        <v>36</v>
      </c>
      <c r="K10" s="12" t="s">
        <v>37</v>
      </c>
      <c r="L10" s="9" t="s">
        <v>38</v>
      </c>
      <c r="M10" s="10" t="s">
        <v>39</v>
      </c>
      <c r="N10" s="11" t="s">
        <v>40</v>
      </c>
      <c r="O10" s="12" t="s">
        <v>41</v>
      </c>
      <c r="P10" s="9" t="s">
        <v>42</v>
      </c>
      <c r="Q10" s="10" t="s">
        <v>43</v>
      </c>
      <c r="R10" s="12" t="s">
        <v>44</v>
      </c>
      <c r="S10" s="9" t="s">
        <v>45</v>
      </c>
      <c r="T10" s="34">
        <v>1</v>
      </c>
      <c r="U10" s="35">
        <v>2</v>
      </c>
      <c r="V10" s="36">
        <v>3</v>
      </c>
      <c r="W10" s="9" t="s">
        <v>46</v>
      </c>
      <c r="X10" s="13" t="s">
        <v>409</v>
      </c>
      <c r="Y10" s="9" t="s">
        <v>410</v>
      </c>
      <c r="Z10" s="10" t="s">
        <v>409</v>
      </c>
      <c r="AA10" s="31" t="s">
        <v>410</v>
      </c>
    </row>
    <row r="11" spans="1:27" s="92" customFormat="1" ht="18.75" customHeight="1" x14ac:dyDescent="0.35">
      <c r="A11" s="25"/>
      <c r="B11" s="14" t="s">
        <v>49</v>
      </c>
      <c r="C11" s="26">
        <v>27292</v>
      </c>
      <c r="D11" s="39">
        <v>13488</v>
      </c>
      <c r="E11" s="26">
        <v>13685</v>
      </c>
      <c r="F11" s="40">
        <v>3682</v>
      </c>
      <c r="G11" s="41">
        <v>7667</v>
      </c>
      <c r="H11" s="42">
        <v>7751</v>
      </c>
      <c r="I11" s="26">
        <v>8192</v>
      </c>
      <c r="J11" s="40">
        <v>2780</v>
      </c>
      <c r="K11" s="42">
        <v>9601</v>
      </c>
      <c r="L11" s="26">
        <v>12258</v>
      </c>
      <c r="M11" s="40">
        <v>2997</v>
      </c>
      <c r="N11" s="41">
        <v>14034</v>
      </c>
      <c r="O11" s="42">
        <v>2839</v>
      </c>
      <c r="P11" s="26">
        <v>6900</v>
      </c>
      <c r="Q11" s="40">
        <v>10494</v>
      </c>
      <c r="R11" s="42">
        <v>10245</v>
      </c>
      <c r="S11" s="26">
        <v>6421</v>
      </c>
      <c r="T11" s="40">
        <v>6218</v>
      </c>
      <c r="U11" s="41">
        <v>10287</v>
      </c>
      <c r="V11" s="42">
        <v>4457</v>
      </c>
      <c r="W11" s="26">
        <v>3439</v>
      </c>
      <c r="X11" s="39">
        <v>17539</v>
      </c>
      <c r="Y11" s="26">
        <v>8634</v>
      </c>
      <c r="Z11" s="40">
        <v>11191</v>
      </c>
      <c r="AA11" s="43">
        <v>14524</v>
      </c>
    </row>
    <row r="12" spans="1:27" s="92" customFormat="1" ht="18.75" customHeight="1" thickBot="1" x14ac:dyDescent="0.4">
      <c r="A12" s="26"/>
      <c r="B12" s="15" t="s">
        <v>50</v>
      </c>
      <c r="C12" s="44">
        <v>27292</v>
      </c>
      <c r="D12" s="45">
        <v>13117</v>
      </c>
      <c r="E12" s="46">
        <v>14056</v>
      </c>
      <c r="F12" s="45">
        <v>3535</v>
      </c>
      <c r="G12" s="47">
        <v>6272</v>
      </c>
      <c r="H12" s="47">
        <v>6843</v>
      </c>
      <c r="I12" s="46">
        <v>10643</v>
      </c>
      <c r="J12" s="45">
        <v>5987</v>
      </c>
      <c r="K12" s="47">
        <v>10797</v>
      </c>
      <c r="L12" s="46">
        <v>7855</v>
      </c>
      <c r="M12" s="45">
        <v>2765</v>
      </c>
      <c r="N12" s="47">
        <v>12846</v>
      </c>
      <c r="O12" s="47">
        <v>2724</v>
      </c>
      <c r="P12" s="46">
        <v>8517</v>
      </c>
      <c r="Q12" s="45">
        <v>10940</v>
      </c>
      <c r="R12" s="47">
        <v>9369</v>
      </c>
      <c r="S12" s="46">
        <v>6851</v>
      </c>
      <c r="T12" s="45">
        <v>7012</v>
      </c>
      <c r="U12" s="47">
        <v>10099</v>
      </c>
      <c r="V12" s="47">
        <v>3919</v>
      </c>
      <c r="W12" s="46">
        <v>2709</v>
      </c>
      <c r="X12" s="45">
        <v>18568</v>
      </c>
      <c r="Y12" s="46">
        <v>7508</v>
      </c>
      <c r="Z12" s="45">
        <v>11570</v>
      </c>
      <c r="AA12" s="48">
        <v>13901</v>
      </c>
    </row>
    <row r="13" spans="1:27" s="93" customFormat="1" ht="21" customHeight="1" x14ac:dyDescent="0.35">
      <c r="A13" s="65"/>
      <c r="B13" s="224" t="s">
        <v>75</v>
      </c>
      <c r="C13" s="63">
        <v>5568</v>
      </c>
      <c r="D13" s="64">
        <v>2584</v>
      </c>
      <c r="E13" s="65">
        <v>2952</v>
      </c>
      <c r="F13" s="66">
        <v>777</v>
      </c>
      <c r="G13" s="67">
        <v>1199</v>
      </c>
      <c r="H13" s="68">
        <v>1427</v>
      </c>
      <c r="I13" s="65">
        <v>2166</v>
      </c>
      <c r="J13" s="66">
        <v>1172</v>
      </c>
      <c r="K13" s="68">
        <v>2261</v>
      </c>
      <c r="L13" s="65">
        <v>1644</v>
      </c>
      <c r="M13" s="66">
        <v>705</v>
      </c>
      <c r="N13" s="67">
        <v>2575</v>
      </c>
      <c r="O13" s="68">
        <v>540</v>
      </c>
      <c r="P13" s="65">
        <v>1675</v>
      </c>
      <c r="Q13" s="66">
        <v>2242</v>
      </c>
      <c r="R13" s="68">
        <v>1826</v>
      </c>
      <c r="S13" s="65">
        <v>1480</v>
      </c>
      <c r="T13" s="66">
        <v>1381</v>
      </c>
      <c r="U13" s="67">
        <v>1920</v>
      </c>
      <c r="V13" s="68">
        <v>879</v>
      </c>
      <c r="W13" s="65">
        <v>559</v>
      </c>
      <c r="X13" s="64">
        <v>3633</v>
      </c>
      <c r="Y13" s="65">
        <v>1725</v>
      </c>
      <c r="Z13" s="66">
        <v>2325</v>
      </c>
      <c r="AA13" s="69">
        <v>2956</v>
      </c>
    </row>
    <row r="14" spans="1:27" ht="24" customHeight="1" x14ac:dyDescent="0.35">
      <c r="B14" s="225"/>
      <c r="C14" s="49">
        <v>0.2</v>
      </c>
      <c r="D14" s="50">
        <v>0.2</v>
      </c>
      <c r="E14" s="51">
        <v>0.21</v>
      </c>
      <c r="F14" s="50">
        <v>0.22</v>
      </c>
      <c r="G14" s="51">
        <v>0.19</v>
      </c>
      <c r="H14" s="51">
        <v>0.21</v>
      </c>
      <c r="I14" s="51">
        <v>0.2</v>
      </c>
      <c r="J14" s="50">
        <v>0.2</v>
      </c>
      <c r="K14" s="51">
        <v>0.21</v>
      </c>
      <c r="L14" s="51">
        <v>0.21</v>
      </c>
      <c r="M14" s="50">
        <v>0.26</v>
      </c>
      <c r="N14" s="51">
        <v>0.2</v>
      </c>
      <c r="O14" s="51">
        <v>0.2</v>
      </c>
      <c r="P14" s="51">
        <v>0.2</v>
      </c>
      <c r="Q14" s="50">
        <v>0.2</v>
      </c>
      <c r="R14" s="51">
        <v>0.19</v>
      </c>
      <c r="S14" s="51">
        <v>0.22</v>
      </c>
      <c r="T14" s="50">
        <v>0.2</v>
      </c>
      <c r="U14" s="51">
        <v>0.19</v>
      </c>
      <c r="V14" s="51">
        <v>0.22</v>
      </c>
      <c r="W14" s="51">
        <v>0.21</v>
      </c>
      <c r="X14" s="50">
        <v>0.2</v>
      </c>
      <c r="Y14" s="51">
        <v>0.23</v>
      </c>
      <c r="Z14" s="50">
        <v>0.2</v>
      </c>
      <c r="AA14" s="52">
        <v>0.21</v>
      </c>
    </row>
    <row r="15" spans="1:27" s="93" customFormat="1" ht="21" customHeight="1" x14ac:dyDescent="0.35">
      <c r="A15" s="65"/>
      <c r="B15" s="228" t="s">
        <v>76</v>
      </c>
      <c r="C15" s="63">
        <v>2512</v>
      </c>
      <c r="D15" s="70">
        <v>1406</v>
      </c>
      <c r="E15" s="65">
        <v>1091</v>
      </c>
      <c r="F15" s="71">
        <v>530</v>
      </c>
      <c r="G15" s="72">
        <v>784</v>
      </c>
      <c r="H15" s="73">
        <v>571</v>
      </c>
      <c r="I15" s="65">
        <v>626</v>
      </c>
      <c r="J15" s="71">
        <v>799</v>
      </c>
      <c r="K15" s="73">
        <v>668</v>
      </c>
      <c r="L15" s="65">
        <v>778</v>
      </c>
      <c r="M15" s="71">
        <v>279</v>
      </c>
      <c r="N15" s="72">
        <v>1245</v>
      </c>
      <c r="O15" s="73">
        <v>291</v>
      </c>
      <c r="P15" s="65">
        <v>649</v>
      </c>
      <c r="Q15" s="71">
        <v>1104</v>
      </c>
      <c r="R15" s="73">
        <v>769</v>
      </c>
      <c r="S15" s="65">
        <v>631</v>
      </c>
      <c r="T15" s="71">
        <v>688</v>
      </c>
      <c r="U15" s="72">
        <v>731</v>
      </c>
      <c r="V15" s="73">
        <v>354</v>
      </c>
      <c r="W15" s="65">
        <v>293</v>
      </c>
      <c r="X15" s="70">
        <v>1824</v>
      </c>
      <c r="Y15" s="65">
        <v>616</v>
      </c>
      <c r="Z15" s="71">
        <v>1297</v>
      </c>
      <c r="AA15" s="74">
        <v>1129</v>
      </c>
    </row>
    <row r="16" spans="1:27" ht="24" customHeight="1" x14ac:dyDescent="0.35">
      <c r="B16" s="225"/>
      <c r="C16" s="49">
        <v>9.9999999999999978E-2</v>
      </c>
      <c r="D16" s="50">
        <v>9.9999999999999978E-2</v>
      </c>
      <c r="E16" s="51">
        <v>7.9999999999999988E-2</v>
      </c>
      <c r="F16" s="50">
        <v>0.15</v>
      </c>
      <c r="G16" s="51">
        <v>0.13</v>
      </c>
      <c r="H16" s="51">
        <v>7.9999999999999988E-2</v>
      </c>
      <c r="I16" s="51">
        <v>0.06</v>
      </c>
      <c r="J16" s="50">
        <v>0.13</v>
      </c>
      <c r="K16" s="51">
        <v>6.0000000000000026E-2</v>
      </c>
      <c r="L16" s="51">
        <v>0.1</v>
      </c>
      <c r="M16" s="50">
        <v>9.9999999999999978E-2</v>
      </c>
      <c r="N16" s="51">
        <v>9.9999999999999978E-2</v>
      </c>
      <c r="O16" s="51">
        <v>0.10999999999999999</v>
      </c>
      <c r="P16" s="51">
        <v>7.0000000000000007E-2</v>
      </c>
      <c r="Q16" s="50">
        <v>0.10999999999999999</v>
      </c>
      <c r="R16" s="51">
        <v>9.0000000000000024E-2</v>
      </c>
      <c r="S16" s="51">
        <v>0.09</v>
      </c>
      <c r="T16" s="50">
        <v>9.9999999999999978E-2</v>
      </c>
      <c r="U16" s="51">
        <v>7.0000000000000007E-2</v>
      </c>
      <c r="V16" s="51">
        <v>0.09</v>
      </c>
      <c r="W16" s="51">
        <v>0.1</v>
      </c>
      <c r="X16" s="50">
        <v>8.9999999999999969E-2</v>
      </c>
      <c r="Y16" s="51">
        <v>7.9999999999999988E-2</v>
      </c>
      <c r="Z16" s="50">
        <v>0.10999999999999999</v>
      </c>
      <c r="AA16" s="52">
        <v>7.9999999999999988E-2</v>
      </c>
    </row>
    <row r="17" spans="1:27" s="93" customFormat="1" ht="21" customHeight="1" x14ac:dyDescent="0.35">
      <c r="A17" s="65"/>
      <c r="B17" s="228" t="s">
        <v>77</v>
      </c>
      <c r="C17" s="63">
        <v>1856</v>
      </c>
      <c r="D17" s="70">
        <v>1100</v>
      </c>
      <c r="E17" s="65">
        <v>744</v>
      </c>
      <c r="F17" s="71">
        <v>408</v>
      </c>
      <c r="G17" s="72">
        <v>610</v>
      </c>
      <c r="H17" s="73">
        <v>429</v>
      </c>
      <c r="I17" s="65">
        <v>408</v>
      </c>
      <c r="J17" s="71">
        <v>517</v>
      </c>
      <c r="K17" s="73">
        <v>587</v>
      </c>
      <c r="L17" s="65">
        <v>560</v>
      </c>
      <c r="M17" s="71">
        <v>241</v>
      </c>
      <c r="N17" s="72">
        <v>989</v>
      </c>
      <c r="O17" s="73">
        <v>215</v>
      </c>
      <c r="P17" s="65">
        <v>385</v>
      </c>
      <c r="Q17" s="71">
        <v>747</v>
      </c>
      <c r="R17" s="73">
        <v>729</v>
      </c>
      <c r="S17" s="65">
        <v>368</v>
      </c>
      <c r="T17" s="71">
        <v>485</v>
      </c>
      <c r="U17" s="72">
        <v>586</v>
      </c>
      <c r="V17" s="73">
        <v>233</v>
      </c>
      <c r="W17" s="65">
        <v>199</v>
      </c>
      <c r="X17" s="70">
        <v>1215</v>
      </c>
      <c r="Y17" s="65">
        <v>609</v>
      </c>
      <c r="Z17" s="71">
        <v>766</v>
      </c>
      <c r="AA17" s="74">
        <v>1035</v>
      </c>
    </row>
    <row r="18" spans="1:27" ht="24" customHeight="1" x14ac:dyDescent="0.35">
      <c r="B18" s="225"/>
      <c r="C18" s="49">
        <v>0.06</v>
      </c>
      <c r="D18" s="50">
        <v>9.0000000000000024E-2</v>
      </c>
      <c r="E18" s="51">
        <v>5.0000000000000044E-2</v>
      </c>
      <c r="F18" s="50">
        <v>0.12</v>
      </c>
      <c r="G18" s="51">
        <v>8.9999999999999969E-2</v>
      </c>
      <c r="H18" s="51">
        <v>0.06</v>
      </c>
      <c r="I18" s="51">
        <v>3.999999999999998E-2</v>
      </c>
      <c r="J18" s="50">
        <v>8.9999999999999969E-2</v>
      </c>
      <c r="K18" s="51">
        <v>0.06</v>
      </c>
      <c r="L18" s="51">
        <v>7.0000000000000007E-2</v>
      </c>
      <c r="M18" s="50">
        <v>8.0000000000000016E-2</v>
      </c>
      <c r="N18" s="51">
        <v>7.0000000000000007E-2</v>
      </c>
      <c r="O18" s="51">
        <v>7.0000000000000007E-2</v>
      </c>
      <c r="P18" s="51">
        <v>4.9999999999999989E-2</v>
      </c>
      <c r="Q18" s="50">
        <v>0.06</v>
      </c>
      <c r="R18" s="51">
        <v>6.9999999999999951E-2</v>
      </c>
      <c r="S18" s="51">
        <v>4.9999999999999989E-2</v>
      </c>
      <c r="T18" s="50">
        <v>0.06</v>
      </c>
      <c r="U18" s="51">
        <v>0.06</v>
      </c>
      <c r="V18" s="51">
        <v>0.06</v>
      </c>
      <c r="W18" s="51">
        <v>8.0000000000000016E-2</v>
      </c>
      <c r="X18" s="50">
        <v>7.0000000000000007E-2</v>
      </c>
      <c r="Y18" s="51">
        <v>8.0000000000000016E-2</v>
      </c>
      <c r="Z18" s="50">
        <v>7.0000000000000007E-2</v>
      </c>
      <c r="AA18" s="52">
        <v>8.0000000000000016E-2</v>
      </c>
    </row>
    <row r="19" spans="1:27" s="93" customFormat="1" ht="21" customHeight="1" x14ac:dyDescent="0.35">
      <c r="A19" s="65"/>
      <c r="B19" s="228" t="s">
        <v>78</v>
      </c>
      <c r="C19" s="63">
        <v>9090</v>
      </c>
      <c r="D19" s="70">
        <v>4146</v>
      </c>
      <c r="E19" s="65">
        <v>4929</v>
      </c>
      <c r="F19" s="71">
        <v>1059</v>
      </c>
      <c r="G19" s="72">
        <v>1909</v>
      </c>
      <c r="H19" s="73">
        <v>2170</v>
      </c>
      <c r="I19" s="65">
        <v>3952</v>
      </c>
      <c r="J19" s="71">
        <v>1794</v>
      </c>
      <c r="K19" s="73">
        <v>3794</v>
      </c>
      <c r="L19" s="65">
        <v>2798</v>
      </c>
      <c r="M19" s="71">
        <v>743</v>
      </c>
      <c r="N19" s="72">
        <v>4389</v>
      </c>
      <c r="O19" s="73">
        <v>837</v>
      </c>
      <c r="P19" s="65">
        <v>3026</v>
      </c>
      <c r="Q19" s="71">
        <v>3644</v>
      </c>
      <c r="R19" s="73">
        <v>3156</v>
      </c>
      <c r="S19" s="65">
        <v>2278</v>
      </c>
      <c r="T19" s="71">
        <v>2304</v>
      </c>
      <c r="U19" s="72">
        <v>3703</v>
      </c>
      <c r="V19" s="73">
        <v>1354</v>
      </c>
      <c r="W19" s="65">
        <v>904</v>
      </c>
      <c r="X19" s="70">
        <v>6972</v>
      </c>
      <c r="Y19" s="65">
        <v>1853</v>
      </c>
      <c r="Z19" s="71">
        <v>4192</v>
      </c>
      <c r="AA19" s="74">
        <v>4402</v>
      </c>
    </row>
    <row r="20" spans="1:27" ht="24" customHeight="1" x14ac:dyDescent="0.35">
      <c r="B20" s="225"/>
      <c r="C20" s="49">
        <v>0.33999999999999997</v>
      </c>
      <c r="D20" s="50">
        <v>0.30999999999999994</v>
      </c>
      <c r="E20" s="51">
        <v>0.34999999999999992</v>
      </c>
      <c r="F20" s="50">
        <v>0.29000000000000004</v>
      </c>
      <c r="G20" s="51">
        <v>0.31</v>
      </c>
      <c r="H20" s="51">
        <v>0.32000000000000006</v>
      </c>
      <c r="I20" s="51">
        <v>0.37000000000000005</v>
      </c>
      <c r="J20" s="50">
        <v>0.3</v>
      </c>
      <c r="K20" s="51">
        <v>0.35000000000000003</v>
      </c>
      <c r="L20" s="51">
        <v>0.36</v>
      </c>
      <c r="M20" s="50">
        <v>0.26999999999999996</v>
      </c>
      <c r="N20" s="51">
        <v>0.35</v>
      </c>
      <c r="O20" s="51">
        <v>0.30999999999999994</v>
      </c>
      <c r="P20" s="51">
        <v>0.35000000000000003</v>
      </c>
      <c r="Q20" s="50">
        <v>0.33999999999999997</v>
      </c>
      <c r="R20" s="51">
        <v>0.33999999999999997</v>
      </c>
      <c r="S20" s="51">
        <v>0.32999999999999996</v>
      </c>
      <c r="T20" s="50">
        <v>0.32999999999999996</v>
      </c>
      <c r="U20" s="51">
        <v>0.36999999999999994</v>
      </c>
      <c r="V20" s="51">
        <v>0.35</v>
      </c>
      <c r="W20" s="51">
        <v>0.32999999999999996</v>
      </c>
      <c r="X20" s="50">
        <v>0.37</v>
      </c>
      <c r="Y20" s="51">
        <v>0.25</v>
      </c>
      <c r="Z20" s="50">
        <v>0.36</v>
      </c>
      <c r="AA20" s="52">
        <v>0.31000000000000005</v>
      </c>
    </row>
    <row r="21" spans="1:27" s="93" customFormat="1" ht="21" customHeight="1" x14ac:dyDescent="0.35">
      <c r="A21" s="65"/>
      <c r="B21" s="228" t="s">
        <v>79</v>
      </c>
      <c r="C21" s="63">
        <v>3618</v>
      </c>
      <c r="D21" s="70">
        <v>2116</v>
      </c>
      <c r="E21" s="65">
        <v>1490</v>
      </c>
      <c r="F21" s="71">
        <v>292</v>
      </c>
      <c r="G21" s="72">
        <v>793</v>
      </c>
      <c r="H21" s="73">
        <v>1044</v>
      </c>
      <c r="I21" s="65">
        <v>1489</v>
      </c>
      <c r="J21" s="71">
        <v>670</v>
      </c>
      <c r="K21" s="73">
        <v>1536</v>
      </c>
      <c r="L21" s="65">
        <v>1139</v>
      </c>
      <c r="M21" s="71">
        <v>404</v>
      </c>
      <c r="N21" s="72">
        <v>1746</v>
      </c>
      <c r="O21" s="73">
        <v>369</v>
      </c>
      <c r="P21" s="65">
        <v>1072</v>
      </c>
      <c r="Q21" s="71">
        <v>1437</v>
      </c>
      <c r="R21" s="73">
        <v>1336</v>
      </c>
      <c r="S21" s="65">
        <v>837</v>
      </c>
      <c r="T21" s="71">
        <v>833</v>
      </c>
      <c r="U21" s="72">
        <v>1456</v>
      </c>
      <c r="V21" s="73">
        <v>572</v>
      </c>
      <c r="W21" s="65">
        <v>356</v>
      </c>
      <c r="X21" s="70">
        <v>2122</v>
      </c>
      <c r="Y21" s="65">
        <v>1386</v>
      </c>
      <c r="Z21" s="71">
        <v>1273</v>
      </c>
      <c r="AA21" s="74">
        <v>2172</v>
      </c>
    </row>
    <row r="22" spans="1:27" ht="24" customHeight="1" x14ac:dyDescent="0.35">
      <c r="B22" s="225"/>
      <c r="C22" s="49">
        <v>0.13</v>
      </c>
      <c r="D22" s="50">
        <v>0.17000000000000004</v>
      </c>
      <c r="E22" s="51">
        <v>0.1100000000000001</v>
      </c>
      <c r="F22" s="50">
        <v>8.9999999999999969E-2</v>
      </c>
      <c r="G22" s="51">
        <v>0.12</v>
      </c>
      <c r="H22" s="51">
        <v>0.14999999999999991</v>
      </c>
      <c r="I22" s="51">
        <v>0.14000000000000001</v>
      </c>
      <c r="J22" s="50">
        <v>0.10999999999999999</v>
      </c>
      <c r="K22" s="51">
        <v>0.1399999999999999</v>
      </c>
      <c r="L22" s="51">
        <v>0.14000000000000001</v>
      </c>
      <c r="M22" s="50">
        <v>0.15000000000000002</v>
      </c>
      <c r="N22" s="51">
        <v>0.13</v>
      </c>
      <c r="O22" s="51">
        <v>0.14000000000000001</v>
      </c>
      <c r="P22" s="51">
        <v>0.13</v>
      </c>
      <c r="Q22" s="50">
        <v>0.13</v>
      </c>
      <c r="R22" s="51">
        <v>0.14000000000000001</v>
      </c>
      <c r="S22" s="51">
        <v>0.13</v>
      </c>
      <c r="T22" s="50">
        <v>0.12000000000000011</v>
      </c>
      <c r="U22" s="51">
        <v>0.14000000000000001</v>
      </c>
      <c r="V22" s="51">
        <v>0.15000000000000002</v>
      </c>
      <c r="W22" s="51">
        <v>0.13</v>
      </c>
      <c r="X22" s="50">
        <v>0.12</v>
      </c>
      <c r="Y22" s="51">
        <v>0.17999999999999994</v>
      </c>
      <c r="Z22" s="50">
        <v>0.10999999999999999</v>
      </c>
      <c r="AA22" s="52">
        <v>0.15999999999999992</v>
      </c>
    </row>
    <row r="23" spans="1:27" s="93" customFormat="1" ht="21" customHeight="1" x14ac:dyDescent="0.35">
      <c r="A23" s="65"/>
      <c r="B23" s="228" t="s">
        <v>80</v>
      </c>
      <c r="C23" s="63">
        <v>1909</v>
      </c>
      <c r="D23" s="70">
        <v>820</v>
      </c>
      <c r="E23" s="65">
        <v>1079</v>
      </c>
      <c r="F23" s="71">
        <v>200</v>
      </c>
      <c r="G23" s="72">
        <v>398</v>
      </c>
      <c r="H23" s="73">
        <v>439</v>
      </c>
      <c r="I23" s="65">
        <v>872</v>
      </c>
      <c r="J23" s="71">
        <v>428</v>
      </c>
      <c r="K23" s="73">
        <v>868</v>
      </c>
      <c r="L23" s="65">
        <v>470</v>
      </c>
      <c r="M23" s="71">
        <v>190</v>
      </c>
      <c r="N23" s="72">
        <v>895</v>
      </c>
      <c r="O23" s="73">
        <v>187</v>
      </c>
      <c r="P23" s="65">
        <v>603</v>
      </c>
      <c r="Q23" s="71">
        <v>769</v>
      </c>
      <c r="R23" s="73">
        <v>675</v>
      </c>
      <c r="S23" s="65">
        <v>463</v>
      </c>
      <c r="T23" s="71">
        <v>529</v>
      </c>
      <c r="U23" s="72">
        <v>772</v>
      </c>
      <c r="V23" s="73">
        <v>241</v>
      </c>
      <c r="W23" s="65">
        <v>168</v>
      </c>
      <c r="X23" s="70">
        <v>1175</v>
      </c>
      <c r="Y23" s="65">
        <v>673</v>
      </c>
      <c r="Z23" s="71">
        <v>721</v>
      </c>
      <c r="AA23" s="74">
        <v>1080</v>
      </c>
    </row>
    <row r="24" spans="1:27" ht="24" customHeight="1" x14ac:dyDescent="0.35">
      <c r="B24" s="225"/>
      <c r="C24" s="49">
        <v>7.0000000000000062E-2</v>
      </c>
      <c r="D24" s="50">
        <v>6.0000000000000053E-2</v>
      </c>
      <c r="E24" s="51">
        <v>6.9999999999999951E-2</v>
      </c>
      <c r="F24" s="50">
        <v>5.0000000000000044E-2</v>
      </c>
      <c r="G24" s="51">
        <v>7.0000000000000062E-2</v>
      </c>
      <c r="H24" s="51">
        <v>7.0000000000000062E-2</v>
      </c>
      <c r="I24" s="51">
        <v>7.999999999999996E-2</v>
      </c>
      <c r="J24" s="50">
        <v>7.0000000000000062E-2</v>
      </c>
      <c r="K24" s="51">
        <v>8.0000000000000071E-2</v>
      </c>
      <c r="L24" s="51">
        <v>5.9999999999999942E-2</v>
      </c>
      <c r="M24" s="50">
        <v>7.0000000000000062E-2</v>
      </c>
      <c r="N24" s="51">
        <v>7.0000000000000062E-2</v>
      </c>
      <c r="O24" s="51">
        <v>7.0000000000000062E-2</v>
      </c>
      <c r="P24" s="51">
        <v>6.9999999999999951E-2</v>
      </c>
      <c r="Q24" s="50">
        <v>7.0000000000000062E-2</v>
      </c>
      <c r="R24" s="51">
        <v>8.0000000000000071E-2</v>
      </c>
      <c r="S24" s="51">
        <v>6.0000000000000053E-2</v>
      </c>
      <c r="T24" s="50">
        <v>7.999999999999996E-2</v>
      </c>
      <c r="U24" s="51">
        <v>8.0000000000000071E-2</v>
      </c>
      <c r="V24" s="51">
        <v>6.0000000000000053E-2</v>
      </c>
      <c r="W24" s="51">
        <v>6.0000000000000053E-2</v>
      </c>
      <c r="X24" s="50">
        <v>6.0000000000000053E-2</v>
      </c>
      <c r="Y24" s="51">
        <v>9.000000000000008E-2</v>
      </c>
      <c r="Z24" s="50">
        <v>6.0000000000000053E-2</v>
      </c>
      <c r="AA24" s="52">
        <v>8.0000000000000071E-2</v>
      </c>
    </row>
    <row r="25" spans="1:27" s="93" customFormat="1" ht="21" customHeight="1" x14ac:dyDescent="0.35">
      <c r="A25" s="65"/>
      <c r="B25" s="228" t="s">
        <v>81</v>
      </c>
      <c r="C25" s="63">
        <v>517</v>
      </c>
      <c r="D25" s="70">
        <v>245</v>
      </c>
      <c r="E25" s="65">
        <v>265</v>
      </c>
      <c r="F25" s="71">
        <v>75</v>
      </c>
      <c r="G25" s="72">
        <v>117</v>
      </c>
      <c r="H25" s="73">
        <v>207</v>
      </c>
      <c r="I25" s="65">
        <v>117</v>
      </c>
      <c r="J25" s="71">
        <v>130</v>
      </c>
      <c r="K25" s="73">
        <v>174</v>
      </c>
      <c r="L25" s="65">
        <v>100</v>
      </c>
      <c r="M25" s="71">
        <v>78</v>
      </c>
      <c r="N25" s="72">
        <v>202</v>
      </c>
      <c r="O25" s="73">
        <v>46</v>
      </c>
      <c r="P25" s="65">
        <v>166</v>
      </c>
      <c r="Q25" s="71">
        <v>197</v>
      </c>
      <c r="R25" s="73">
        <v>150</v>
      </c>
      <c r="S25" s="65">
        <v>152</v>
      </c>
      <c r="T25" s="71">
        <v>107</v>
      </c>
      <c r="U25" s="72">
        <v>160</v>
      </c>
      <c r="V25" s="73">
        <v>49</v>
      </c>
      <c r="W25" s="65">
        <v>65</v>
      </c>
      <c r="X25" s="70">
        <v>314</v>
      </c>
      <c r="Y25" s="65">
        <v>164</v>
      </c>
      <c r="Z25" s="71">
        <v>216</v>
      </c>
      <c r="AA25" s="74">
        <v>215</v>
      </c>
    </row>
    <row r="26" spans="1:27" ht="24" customHeight="1" x14ac:dyDescent="0.35">
      <c r="B26" s="225"/>
      <c r="C26" s="49">
        <v>2.0000000000000018E-2</v>
      </c>
      <c r="D26" s="50">
        <v>1.9999999999999907E-2</v>
      </c>
      <c r="E26" s="51">
        <v>2.0000000000000018E-2</v>
      </c>
      <c r="F26" s="50">
        <v>2.9999999999999916E-2</v>
      </c>
      <c r="G26" s="51">
        <v>2.0000000000000018E-2</v>
      </c>
      <c r="H26" s="51">
        <v>3.0000000000000027E-2</v>
      </c>
      <c r="I26" s="51">
        <v>1.0000000000000009E-2</v>
      </c>
      <c r="J26" s="50">
        <v>2.0000000000000018E-2</v>
      </c>
      <c r="K26" s="51">
        <v>2.0000000000000018E-2</v>
      </c>
      <c r="L26" s="51">
        <v>1.0000000000000009E-2</v>
      </c>
      <c r="M26" s="50">
        <v>1.9999999999999907E-2</v>
      </c>
      <c r="N26" s="51">
        <v>1.9999999999999907E-2</v>
      </c>
      <c r="O26" s="51">
        <v>1.0000000000000009E-2</v>
      </c>
      <c r="P26" s="51">
        <v>2.0000000000000018E-2</v>
      </c>
      <c r="Q26" s="50">
        <v>2.0000000000000018E-2</v>
      </c>
      <c r="R26" s="51">
        <v>1.0000000000000009E-2</v>
      </c>
      <c r="S26" s="51">
        <v>3.0000000000000027E-2</v>
      </c>
      <c r="T26" s="50">
        <v>1.0000000000000009E-2</v>
      </c>
      <c r="U26" s="51">
        <v>1.0000000000000009E-2</v>
      </c>
      <c r="V26" s="51">
        <v>9.9999999999998979E-3</v>
      </c>
      <c r="W26" s="51">
        <v>2.9999999999999916E-2</v>
      </c>
      <c r="X26" s="50">
        <v>2.0000000000000018E-2</v>
      </c>
      <c r="Y26" s="51">
        <v>2.9999999999999916E-2</v>
      </c>
      <c r="Z26" s="50">
        <v>2.0000000000000018E-2</v>
      </c>
      <c r="AA26" s="52">
        <v>1.0000000000000009E-2</v>
      </c>
    </row>
    <row r="27" spans="1:27" s="94" customFormat="1" ht="20.25" customHeight="1" x14ac:dyDescent="0.35">
      <c r="A27" s="26"/>
      <c r="B27" s="232" t="s">
        <v>55</v>
      </c>
      <c r="C27" s="16">
        <v>10946</v>
      </c>
      <c r="D27" s="18">
        <v>5246</v>
      </c>
      <c r="E27" s="17">
        <v>5673</v>
      </c>
      <c r="F27" s="19">
        <v>1467</v>
      </c>
      <c r="G27" s="20">
        <v>2519</v>
      </c>
      <c r="H27" s="21">
        <v>2599</v>
      </c>
      <c r="I27" s="17">
        <v>4360</v>
      </c>
      <c r="J27" s="19">
        <v>2311</v>
      </c>
      <c r="K27" s="21">
        <v>4381</v>
      </c>
      <c r="L27" s="17">
        <v>3358</v>
      </c>
      <c r="M27" s="19">
        <v>984</v>
      </c>
      <c r="N27" s="20">
        <v>5378</v>
      </c>
      <c r="O27" s="21">
        <v>1052</v>
      </c>
      <c r="P27" s="17">
        <v>3411</v>
      </c>
      <c r="Q27" s="19">
        <v>4391</v>
      </c>
      <c r="R27" s="21">
        <v>3885</v>
      </c>
      <c r="S27" s="17">
        <v>2646</v>
      </c>
      <c r="T27" s="19">
        <v>2789</v>
      </c>
      <c r="U27" s="20">
        <v>4289</v>
      </c>
      <c r="V27" s="21">
        <v>1587</v>
      </c>
      <c r="W27" s="17">
        <v>1103</v>
      </c>
      <c r="X27" s="18">
        <v>8187</v>
      </c>
      <c r="Y27" s="17">
        <v>2462</v>
      </c>
      <c r="Z27" s="19">
        <v>4958</v>
      </c>
      <c r="AA27" s="32">
        <v>5437</v>
      </c>
    </row>
    <row r="28" spans="1:27" ht="24" customHeight="1" thickBot="1" x14ac:dyDescent="0.4">
      <c r="B28" s="234"/>
      <c r="C28" s="22">
        <v>7.999999999999996E-2</v>
      </c>
      <c r="D28" s="23">
        <v>5.0000000000000044E-2</v>
      </c>
      <c r="E28" s="24">
        <v>0.10999999999999999</v>
      </c>
      <c r="F28" s="23">
        <v>5.0000000000000044E-2</v>
      </c>
      <c r="G28" s="24">
        <v>6.9999999999999951E-2</v>
      </c>
      <c r="H28" s="24">
        <v>7.999999999999996E-2</v>
      </c>
      <c r="I28" s="24">
        <v>9.9999999999999978E-2</v>
      </c>
      <c r="J28" s="23">
        <v>7.999999999999996E-2</v>
      </c>
      <c r="K28" s="24">
        <v>7.999999999999996E-2</v>
      </c>
      <c r="L28" s="24">
        <v>5.0000000000000044E-2</v>
      </c>
      <c r="M28" s="23">
        <v>5.0000000000000044E-2</v>
      </c>
      <c r="N28" s="24">
        <v>6.0000000000000053E-2</v>
      </c>
      <c r="O28" s="24">
        <v>8.9999999999999969E-2</v>
      </c>
      <c r="P28" s="24">
        <v>0.10999999999999999</v>
      </c>
      <c r="Q28" s="23">
        <v>6.9999999999999951E-2</v>
      </c>
      <c r="R28" s="24">
        <v>7.999999999999996E-2</v>
      </c>
      <c r="S28" s="24">
        <v>8.9999999999999969E-2</v>
      </c>
      <c r="T28" s="23">
        <v>9.9999999999999978E-2</v>
      </c>
      <c r="U28" s="24">
        <v>7.999999999999996E-2</v>
      </c>
      <c r="V28" s="24">
        <v>6.0000000000000053E-2</v>
      </c>
      <c r="W28" s="24">
        <v>6.0000000000000053E-2</v>
      </c>
      <c r="X28" s="23">
        <v>6.9999999999999951E-2</v>
      </c>
      <c r="Y28" s="24">
        <v>6.0000000000000053E-2</v>
      </c>
      <c r="Z28" s="23">
        <v>6.9999999999999951E-2</v>
      </c>
      <c r="AA28" s="33">
        <v>6.9999999999999951E-2</v>
      </c>
    </row>
    <row r="29" spans="1:27" x14ac:dyDescent="0.35">
      <c r="B29" s="1"/>
    </row>
    <row r="30" spans="1:27" ht="24.75" customHeight="1" x14ac:dyDescent="0.35"/>
    <row r="31" spans="1:27" x14ac:dyDescent="0.35"/>
    <row r="32" spans="1:27" ht="24" customHeight="1" x14ac:dyDescent="0.35"/>
  </sheetData>
  <mergeCells count="16">
    <mergeCell ref="B25:B26"/>
    <mergeCell ref="B27:B28"/>
    <mergeCell ref="B15:B16"/>
    <mergeCell ref="B17:B18"/>
    <mergeCell ref="B19:B20"/>
    <mergeCell ref="B21:B22"/>
    <mergeCell ref="B23:B24"/>
    <mergeCell ref="T9:W9"/>
    <mergeCell ref="X9:Y9"/>
    <mergeCell ref="Z9:AA9"/>
    <mergeCell ref="B13:B14"/>
    <mergeCell ref="D9:E9"/>
    <mergeCell ref="F9:I9"/>
    <mergeCell ref="J9:L9"/>
    <mergeCell ref="M9:P9"/>
    <mergeCell ref="Q9:S9"/>
  </mergeCells>
  <hyperlinks>
    <hyperlink ref="B1" location="'Table of Contents'!A1" display="Home" xr:uid="{07DD5623-C2C0-5A49-AF4F-A0FB5ED567B3}"/>
  </hyperlinks>
  <pageMargins left="0.7" right="0.7" top="0.75" bottom="0.75" header="0.511811023622047" footer="0.511811023622047"/>
  <pageSetup paperSize="9" orientation="portrait" useFirstPageNumber="1"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10"/>
  <dimension ref="A1:AA44"/>
  <sheetViews>
    <sheetView showGridLines="0" zoomScale="60" zoomScaleNormal="60" workbookViewId="0"/>
  </sheetViews>
  <sheetFormatPr defaultColWidth="20.6328125" defaultRowHeight="19" customHeight="1" x14ac:dyDescent="0.35"/>
  <cols>
    <col min="1" max="1" width="8.81640625" style="1" customWidth="1"/>
    <col min="2" max="2" width="100.6328125" style="3" customWidth="1"/>
    <col min="3" max="3" width="20.6328125" style="2"/>
    <col min="4" max="27" width="20.6328125" style="1"/>
    <col min="28" max="16384" width="20.6328125" style="87"/>
  </cols>
  <sheetData>
    <row r="1" spans="1:27" x14ac:dyDescent="0.35">
      <c r="B1" s="37" t="s">
        <v>0</v>
      </c>
    </row>
    <row r="2" spans="1:27" x14ac:dyDescent="0.35">
      <c r="B2" s="3" t="s">
        <v>442</v>
      </c>
    </row>
    <row r="3" spans="1:27" s="88" customFormat="1" x14ac:dyDescent="0.35">
      <c r="A3" s="2"/>
      <c r="B3" s="3" t="s">
        <v>1</v>
      </c>
      <c r="C3" s="2"/>
      <c r="D3" s="2"/>
      <c r="E3" s="2"/>
      <c r="F3" s="2"/>
      <c r="G3" s="2"/>
      <c r="H3" s="2"/>
      <c r="I3" s="2"/>
      <c r="J3" s="2"/>
      <c r="K3" s="2"/>
      <c r="L3" s="2"/>
      <c r="M3" s="2"/>
      <c r="N3" s="2"/>
      <c r="O3" s="2"/>
      <c r="P3" s="2"/>
      <c r="Q3" s="2"/>
      <c r="R3" s="2"/>
      <c r="S3" s="2"/>
      <c r="T3" s="2"/>
      <c r="U3" s="2"/>
      <c r="V3" s="2"/>
      <c r="W3" s="2"/>
      <c r="X3" s="2"/>
      <c r="Y3" s="2"/>
      <c r="Z3" s="2"/>
      <c r="AA3" s="2"/>
    </row>
    <row r="4" spans="1:27" x14ac:dyDescent="0.35">
      <c r="B4" s="3" t="s">
        <v>2</v>
      </c>
    </row>
    <row r="6" spans="1:27" s="88" customFormat="1" ht="19" customHeight="1" x14ac:dyDescent="0.35">
      <c r="A6" s="2"/>
      <c r="B6" s="28" t="s">
        <v>82</v>
      </c>
      <c r="C6" s="2"/>
      <c r="D6" s="2"/>
      <c r="E6" s="2"/>
      <c r="F6" s="2"/>
      <c r="G6" s="2"/>
      <c r="H6" s="2"/>
      <c r="I6" s="2"/>
      <c r="J6" s="2"/>
      <c r="K6" s="2"/>
      <c r="L6" s="2"/>
      <c r="M6" s="2"/>
      <c r="N6" s="2"/>
      <c r="O6" s="2"/>
      <c r="P6" s="2"/>
      <c r="Q6" s="2"/>
      <c r="R6" s="2"/>
      <c r="S6" s="2"/>
      <c r="T6" s="2"/>
      <c r="U6" s="2"/>
      <c r="V6" s="2"/>
      <c r="W6" s="2"/>
      <c r="X6" s="2"/>
      <c r="Y6" s="2"/>
      <c r="Z6" s="2"/>
      <c r="AA6" s="2"/>
    </row>
    <row r="7" spans="1:27" ht="19.5" customHeight="1" x14ac:dyDescent="0.35">
      <c r="B7" s="215" t="s">
        <v>83</v>
      </c>
    </row>
    <row r="8" spans="1:27" ht="19" customHeight="1" thickBot="1" x14ac:dyDescent="0.4">
      <c r="A8" s="2"/>
    </row>
    <row r="9" spans="1:27" s="89" customFormat="1" ht="19.5" customHeight="1" x14ac:dyDescent="0.4">
      <c r="A9" s="2"/>
      <c r="B9" s="5"/>
      <c r="C9" s="6" t="s">
        <v>21</v>
      </c>
      <c r="D9" s="221" t="s">
        <v>22</v>
      </c>
      <c r="E9" s="222"/>
      <c r="F9" s="221" t="s">
        <v>23</v>
      </c>
      <c r="G9" s="222"/>
      <c r="H9" s="222"/>
      <c r="I9" s="222"/>
      <c r="J9" s="221" t="s">
        <v>24</v>
      </c>
      <c r="K9" s="222"/>
      <c r="L9" s="222"/>
      <c r="M9" s="221" t="s">
        <v>25</v>
      </c>
      <c r="N9" s="222"/>
      <c r="O9" s="222"/>
      <c r="P9" s="222"/>
      <c r="Q9" s="221" t="s">
        <v>26</v>
      </c>
      <c r="R9" s="222"/>
      <c r="S9" s="222"/>
      <c r="T9" s="221" t="s">
        <v>27</v>
      </c>
      <c r="U9" s="222"/>
      <c r="V9" s="222"/>
      <c r="W9" s="222"/>
      <c r="X9" s="221" t="s">
        <v>28</v>
      </c>
      <c r="Y9" s="222"/>
      <c r="Z9" s="221" t="s">
        <v>29</v>
      </c>
      <c r="AA9" s="223"/>
    </row>
    <row r="10" spans="1:27" s="89" customFormat="1" ht="57" customHeight="1" thickBot="1" x14ac:dyDescent="0.45">
      <c r="A10" s="2"/>
      <c r="B10" s="91"/>
      <c r="C10" s="7" t="e" vm="1">
        <v>#VALUE!</v>
      </c>
      <c r="D10" s="8" t="s">
        <v>30</v>
      </c>
      <c r="E10" s="9" t="s">
        <v>31</v>
      </c>
      <c r="F10" s="10" t="s">
        <v>32</v>
      </c>
      <c r="G10" s="11" t="s">
        <v>33</v>
      </c>
      <c r="H10" s="12" t="s">
        <v>34</v>
      </c>
      <c r="I10" s="9" t="s">
        <v>35</v>
      </c>
      <c r="J10" s="10" t="s">
        <v>36</v>
      </c>
      <c r="K10" s="12" t="s">
        <v>37</v>
      </c>
      <c r="L10" s="9" t="s">
        <v>38</v>
      </c>
      <c r="M10" s="10" t="s">
        <v>39</v>
      </c>
      <c r="N10" s="11" t="s">
        <v>40</v>
      </c>
      <c r="O10" s="12" t="s">
        <v>41</v>
      </c>
      <c r="P10" s="9" t="s">
        <v>42</v>
      </c>
      <c r="Q10" s="10" t="s">
        <v>43</v>
      </c>
      <c r="R10" s="12" t="s">
        <v>44</v>
      </c>
      <c r="S10" s="9" t="s">
        <v>45</v>
      </c>
      <c r="T10" s="34">
        <v>1</v>
      </c>
      <c r="U10" s="35">
        <v>2</v>
      </c>
      <c r="V10" s="36">
        <v>3</v>
      </c>
      <c r="W10" s="9" t="s">
        <v>46</v>
      </c>
      <c r="X10" s="13" t="s">
        <v>409</v>
      </c>
      <c r="Y10" s="9" t="s">
        <v>410</v>
      </c>
      <c r="Z10" s="10" t="s">
        <v>409</v>
      </c>
      <c r="AA10" s="31" t="s">
        <v>410</v>
      </c>
    </row>
    <row r="11" spans="1:27" s="92" customFormat="1" ht="18.75" customHeight="1" x14ac:dyDescent="0.35">
      <c r="A11" s="25"/>
      <c r="B11" s="14" t="s">
        <v>49</v>
      </c>
      <c r="C11" s="26">
        <v>24714</v>
      </c>
      <c r="D11" s="39">
        <v>12508</v>
      </c>
      <c r="E11" s="26">
        <v>12112</v>
      </c>
      <c r="F11" s="40">
        <v>3387</v>
      </c>
      <c r="G11" s="41">
        <v>6999</v>
      </c>
      <c r="H11" s="42">
        <v>7017</v>
      </c>
      <c r="I11" s="26">
        <v>7311</v>
      </c>
      <c r="J11" s="40">
        <v>2495</v>
      </c>
      <c r="K11" s="42">
        <v>8612</v>
      </c>
      <c r="L11" s="26">
        <v>11539</v>
      </c>
      <c r="M11" s="40">
        <v>2796</v>
      </c>
      <c r="N11" s="41">
        <v>13006</v>
      </c>
      <c r="O11" s="42">
        <v>2556</v>
      </c>
      <c r="P11" s="26">
        <v>5988</v>
      </c>
      <c r="Q11" s="40">
        <v>9626</v>
      </c>
      <c r="R11" s="42">
        <v>9297</v>
      </c>
      <c r="S11" s="26">
        <v>5729</v>
      </c>
      <c r="T11" s="40">
        <v>5552</v>
      </c>
      <c r="U11" s="41">
        <v>9396</v>
      </c>
      <c r="V11" s="42">
        <v>4129</v>
      </c>
      <c r="W11" s="26">
        <v>3182</v>
      </c>
      <c r="X11" s="39">
        <v>16170</v>
      </c>
      <c r="Y11" s="26">
        <v>7873</v>
      </c>
      <c r="Z11" s="40">
        <v>10327</v>
      </c>
      <c r="AA11" s="43">
        <v>13359</v>
      </c>
    </row>
    <row r="12" spans="1:27" s="92" customFormat="1" ht="18.75" customHeight="1" thickBot="1" x14ac:dyDescent="0.4">
      <c r="A12" s="26"/>
      <c r="B12" s="15" t="s">
        <v>50</v>
      </c>
      <c r="C12" s="44">
        <v>24551</v>
      </c>
      <c r="D12" s="45">
        <v>12172</v>
      </c>
      <c r="E12" s="46">
        <v>12286</v>
      </c>
      <c r="F12" s="45">
        <v>3265</v>
      </c>
      <c r="G12" s="47">
        <v>5694</v>
      </c>
      <c r="H12" s="47">
        <v>6080</v>
      </c>
      <c r="I12" s="46">
        <v>9513</v>
      </c>
      <c r="J12" s="45">
        <v>5380</v>
      </c>
      <c r="K12" s="47">
        <v>9715</v>
      </c>
      <c r="L12" s="46">
        <v>7389</v>
      </c>
      <c r="M12" s="45">
        <v>2562</v>
      </c>
      <c r="N12" s="47">
        <v>11839</v>
      </c>
      <c r="O12" s="47">
        <v>2439</v>
      </c>
      <c r="P12" s="46">
        <v>7410</v>
      </c>
      <c r="Q12" s="45">
        <v>9942</v>
      </c>
      <c r="R12" s="47">
        <v>8490</v>
      </c>
      <c r="S12" s="46">
        <v>6057</v>
      </c>
      <c r="T12" s="45">
        <v>6220</v>
      </c>
      <c r="U12" s="47">
        <v>9169</v>
      </c>
      <c r="V12" s="47">
        <v>3631</v>
      </c>
      <c r="W12" s="46">
        <v>2478</v>
      </c>
      <c r="X12" s="45">
        <v>16941</v>
      </c>
      <c r="Y12" s="46">
        <v>6863</v>
      </c>
      <c r="Z12" s="45">
        <v>10572</v>
      </c>
      <c r="AA12" s="48">
        <v>12774</v>
      </c>
    </row>
    <row r="13" spans="1:27" s="93" customFormat="1" ht="21" customHeight="1" x14ac:dyDescent="0.35">
      <c r="A13" s="65"/>
      <c r="B13" s="224" t="s">
        <v>75</v>
      </c>
      <c r="C13" s="63">
        <v>4270</v>
      </c>
      <c r="D13" s="64">
        <v>1829</v>
      </c>
      <c r="E13" s="65">
        <v>2431</v>
      </c>
      <c r="F13" s="66">
        <v>517</v>
      </c>
      <c r="G13" s="67">
        <v>802</v>
      </c>
      <c r="H13" s="68">
        <v>1073</v>
      </c>
      <c r="I13" s="65">
        <v>1879</v>
      </c>
      <c r="J13" s="66">
        <v>900</v>
      </c>
      <c r="K13" s="68">
        <v>1823</v>
      </c>
      <c r="L13" s="65">
        <v>1236</v>
      </c>
      <c r="M13" s="66">
        <v>383</v>
      </c>
      <c r="N13" s="67">
        <v>1980</v>
      </c>
      <c r="O13" s="68">
        <v>378</v>
      </c>
      <c r="P13" s="65">
        <v>1482</v>
      </c>
      <c r="Q13" s="66">
        <v>1719</v>
      </c>
      <c r="R13" s="68">
        <v>1442</v>
      </c>
      <c r="S13" s="65">
        <v>1103</v>
      </c>
      <c r="T13" s="66">
        <v>1140</v>
      </c>
      <c r="U13" s="67">
        <v>1685</v>
      </c>
      <c r="V13" s="68">
        <v>681</v>
      </c>
      <c r="W13" s="65">
        <v>405</v>
      </c>
      <c r="X13" s="64">
        <v>3002</v>
      </c>
      <c r="Y13" s="65">
        <v>1119</v>
      </c>
      <c r="Z13" s="66">
        <v>1830</v>
      </c>
      <c r="AA13" s="69">
        <v>2220</v>
      </c>
    </row>
    <row r="14" spans="1:27" ht="24" customHeight="1" x14ac:dyDescent="0.35">
      <c r="B14" s="225"/>
      <c r="C14" s="49">
        <v>0.1739367</v>
      </c>
      <c r="D14" s="50">
        <v>0.15024090000000001</v>
      </c>
      <c r="E14" s="51">
        <v>0.19784850000000001</v>
      </c>
      <c r="F14" s="50">
        <v>0.1581931</v>
      </c>
      <c r="G14" s="51">
        <v>0.1409224</v>
      </c>
      <c r="H14" s="51">
        <v>0.17645839999999999</v>
      </c>
      <c r="I14" s="51">
        <v>0.19748830000000001</v>
      </c>
      <c r="J14" s="50">
        <v>0.16737640000000001</v>
      </c>
      <c r="K14" s="51">
        <v>0.18762809999999999</v>
      </c>
      <c r="L14" s="51">
        <v>0.1673028</v>
      </c>
      <c r="M14" s="50">
        <v>0.14955579999999999</v>
      </c>
      <c r="N14" s="51">
        <v>0.16720969999999999</v>
      </c>
      <c r="O14" s="51">
        <v>0.1549751</v>
      </c>
      <c r="P14" s="51">
        <v>0.20002110000000001</v>
      </c>
      <c r="Q14" s="50">
        <v>0.1729474</v>
      </c>
      <c r="R14" s="51">
        <v>0.16983319999999999</v>
      </c>
      <c r="S14" s="51">
        <v>0.18210170000000001</v>
      </c>
      <c r="T14" s="50">
        <v>0.1833137</v>
      </c>
      <c r="U14" s="51">
        <v>0.18375730000000001</v>
      </c>
      <c r="V14" s="51">
        <v>0.1875242</v>
      </c>
      <c r="W14" s="51">
        <v>0.16347100000000001</v>
      </c>
      <c r="X14" s="50">
        <v>0.17720469999999999</v>
      </c>
      <c r="Y14" s="51">
        <v>0.16306970000000001</v>
      </c>
      <c r="Z14" s="50">
        <v>0.1731375</v>
      </c>
      <c r="AA14" s="52">
        <v>0.17377819999999999</v>
      </c>
    </row>
    <row r="15" spans="1:27" s="93" customFormat="1" ht="21" customHeight="1" x14ac:dyDescent="0.35">
      <c r="A15" s="65"/>
      <c r="B15" s="228" t="s">
        <v>76</v>
      </c>
      <c r="C15" s="63">
        <v>3614</v>
      </c>
      <c r="D15" s="70">
        <v>1793</v>
      </c>
      <c r="E15" s="65">
        <v>1811</v>
      </c>
      <c r="F15" s="71">
        <v>606</v>
      </c>
      <c r="G15" s="72">
        <v>1004</v>
      </c>
      <c r="H15" s="73">
        <v>906</v>
      </c>
      <c r="I15" s="65">
        <v>1098</v>
      </c>
      <c r="J15" s="71">
        <v>858</v>
      </c>
      <c r="K15" s="73">
        <v>1449</v>
      </c>
      <c r="L15" s="65">
        <v>989</v>
      </c>
      <c r="M15" s="71">
        <v>453</v>
      </c>
      <c r="N15" s="72">
        <v>1726</v>
      </c>
      <c r="O15" s="73">
        <v>451</v>
      </c>
      <c r="P15" s="65">
        <v>940</v>
      </c>
      <c r="Q15" s="71">
        <v>1513</v>
      </c>
      <c r="R15" s="73">
        <v>1192</v>
      </c>
      <c r="S15" s="65">
        <v>898</v>
      </c>
      <c r="T15" s="71">
        <v>907</v>
      </c>
      <c r="U15" s="72">
        <v>1296</v>
      </c>
      <c r="V15" s="73">
        <v>496</v>
      </c>
      <c r="W15" s="65">
        <v>323</v>
      </c>
      <c r="X15" s="70">
        <v>2543</v>
      </c>
      <c r="Y15" s="65">
        <v>957</v>
      </c>
      <c r="Z15" s="71">
        <v>1779</v>
      </c>
      <c r="AA15" s="74">
        <v>1628</v>
      </c>
    </row>
    <row r="16" spans="1:27" ht="24" customHeight="1" x14ac:dyDescent="0.35">
      <c r="B16" s="225"/>
      <c r="C16" s="49">
        <v>0.14718809999999999</v>
      </c>
      <c r="D16" s="50">
        <v>0.1472715</v>
      </c>
      <c r="E16" s="51">
        <v>0.14741760000000001</v>
      </c>
      <c r="F16" s="50">
        <v>0.185588</v>
      </c>
      <c r="G16" s="51">
        <v>0.17631150000000001</v>
      </c>
      <c r="H16" s="51">
        <v>0.14895249999999999</v>
      </c>
      <c r="I16" s="51">
        <v>0.115449</v>
      </c>
      <c r="J16" s="50">
        <v>0.1594853</v>
      </c>
      <c r="K16" s="51">
        <v>0.149148</v>
      </c>
      <c r="L16" s="51">
        <v>0.1338145</v>
      </c>
      <c r="M16" s="50">
        <v>0.17667169999999999</v>
      </c>
      <c r="N16" s="51">
        <v>0.1457649</v>
      </c>
      <c r="O16" s="51">
        <v>0.18507970000000001</v>
      </c>
      <c r="P16" s="51">
        <v>0.12680240000000001</v>
      </c>
      <c r="Q16" s="50">
        <v>0.15215580000000001</v>
      </c>
      <c r="R16" s="51">
        <v>0.14035249999999999</v>
      </c>
      <c r="S16" s="51">
        <v>0.14830589999999999</v>
      </c>
      <c r="T16" s="50">
        <v>0.14587600000000001</v>
      </c>
      <c r="U16" s="51">
        <v>0.1413073</v>
      </c>
      <c r="V16" s="51">
        <v>0.1367063</v>
      </c>
      <c r="W16" s="51">
        <v>0.13040389999999999</v>
      </c>
      <c r="X16" s="50">
        <v>0.15014159999999999</v>
      </c>
      <c r="Y16" s="51">
        <v>0.139403</v>
      </c>
      <c r="Z16" s="50">
        <v>0.16825399999999999</v>
      </c>
      <c r="AA16" s="52">
        <v>0.1274555</v>
      </c>
    </row>
    <row r="17" spans="1:27" s="93" customFormat="1" ht="21" customHeight="1" x14ac:dyDescent="0.35">
      <c r="A17" s="65"/>
      <c r="B17" s="228" t="s">
        <v>77</v>
      </c>
      <c r="C17" s="63">
        <v>2767</v>
      </c>
      <c r="D17" s="70">
        <v>1610</v>
      </c>
      <c r="E17" s="65">
        <v>1141</v>
      </c>
      <c r="F17" s="71">
        <v>412</v>
      </c>
      <c r="G17" s="72">
        <v>834</v>
      </c>
      <c r="H17" s="73">
        <v>687</v>
      </c>
      <c r="I17" s="65">
        <v>834</v>
      </c>
      <c r="J17" s="71">
        <v>661</v>
      </c>
      <c r="K17" s="73">
        <v>911</v>
      </c>
      <c r="L17" s="65">
        <v>981</v>
      </c>
      <c r="M17" s="71">
        <v>352</v>
      </c>
      <c r="N17" s="72">
        <v>1407</v>
      </c>
      <c r="O17" s="73">
        <v>307</v>
      </c>
      <c r="P17" s="65">
        <v>669</v>
      </c>
      <c r="Q17" s="71">
        <v>1198</v>
      </c>
      <c r="R17" s="73">
        <v>892</v>
      </c>
      <c r="S17" s="65">
        <v>671</v>
      </c>
      <c r="T17" s="71">
        <v>732</v>
      </c>
      <c r="U17" s="72">
        <v>1003</v>
      </c>
      <c r="V17" s="73">
        <v>386</v>
      </c>
      <c r="W17" s="65">
        <v>285</v>
      </c>
      <c r="X17" s="70">
        <v>1818</v>
      </c>
      <c r="Y17" s="65">
        <v>893</v>
      </c>
      <c r="Z17" s="71">
        <v>1162</v>
      </c>
      <c r="AA17" s="74">
        <v>1508</v>
      </c>
    </row>
    <row r="18" spans="1:27" ht="24" customHeight="1" x14ac:dyDescent="0.35">
      <c r="B18" s="225"/>
      <c r="C18" s="49">
        <v>0.1126988</v>
      </c>
      <c r="D18" s="50">
        <v>0.13225690000000001</v>
      </c>
      <c r="E18" s="51">
        <v>9.28818E-2</v>
      </c>
      <c r="F18" s="50">
        <v>0.12607689999999999</v>
      </c>
      <c r="G18" s="51">
        <v>0.1465139</v>
      </c>
      <c r="H18" s="51">
        <v>0.11300250000000001</v>
      </c>
      <c r="I18" s="51">
        <v>8.7674000000000002E-2</v>
      </c>
      <c r="J18" s="50">
        <v>0.1228052</v>
      </c>
      <c r="K18" s="51">
        <v>9.3733800000000006E-2</v>
      </c>
      <c r="L18" s="51">
        <v>0.13272049999999999</v>
      </c>
      <c r="M18" s="50">
        <v>0.13738149999999999</v>
      </c>
      <c r="N18" s="51">
        <v>0.1188443</v>
      </c>
      <c r="O18" s="51">
        <v>0.12584780000000001</v>
      </c>
      <c r="P18" s="51">
        <v>9.0246900000000005E-2</v>
      </c>
      <c r="Q18" s="50">
        <v>0.1205251</v>
      </c>
      <c r="R18" s="51">
        <v>0.1050556</v>
      </c>
      <c r="S18" s="51">
        <v>0.11072940000000001</v>
      </c>
      <c r="T18" s="50">
        <v>0.11762789999999999</v>
      </c>
      <c r="U18" s="51">
        <v>0.1093611</v>
      </c>
      <c r="V18" s="51">
        <v>0.10624119999999999</v>
      </c>
      <c r="W18" s="51">
        <v>0.1151739</v>
      </c>
      <c r="X18" s="50">
        <v>0.1073264</v>
      </c>
      <c r="Y18" s="51">
        <v>0.13013749999999999</v>
      </c>
      <c r="Z18" s="50">
        <v>0.1099199</v>
      </c>
      <c r="AA18" s="52">
        <v>0.1180523</v>
      </c>
    </row>
    <row r="19" spans="1:27" s="93" customFormat="1" ht="21" customHeight="1" x14ac:dyDescent="0.35">
      <c r="A19" s="65"/>
      <c r="B19" s="228" t="s">
        <v>78</v>
      </c>
      <c r="C19" s="63">
        <v>5259</v>
      </c>
      <c r="D19" s="70">
        <v>2692</v>
      </c>
      <c r="E19" s="65">
        <v>2557</v>
      </c>
      <c r="F19" s="71">
        <v>618</v>
      </c>
      <c r="G19" s="72">
        <v>1205</v>
      </c>
      <c r="H19" s="73">
        <v>1338</v>
      </c>
      <c r="I19" s="65">
        <v>2097</v>
      </c>
      <c r="J19" s="71">
        <v>1086</v>
      </c>
      <c r="K19" s="73">
        <v>2123</v>
      </c>
      <c r="L19" s="65">
        <v>1625</v>
      </c>
      <c r="M19" s="71">
        <v>462</v>
      </c>
      <c r="N19" s="72">
        <v>2631</v>
      </c>
      <c r="O19" s="73">
        <v>504</v>
      </c>
      <c r="P19" s="65">
        <v>1609</v>
      </c>
      <c r="Q19" s="71">
        <v>2031</v>
      </c>
      <c r="R19" s="73">
        <v>1984</v>
      </c>
      <c r="S19" s="65">
        <v>1239</v>
      </c>
      <c r="T19" s="71">
        <v>1314</v>
      </c>
      <c r="U19" s="72">
        <v>1997</v>
      </c>
      <c r="V19" s="73">
        <v>787</v>
      </c>
      <c r="W19" s="65">
        <v>582</v>
      </c>
      <c r="X19" s="70">
        <v>3768</v>
      </c>
      <c r="Y19" s="65">
        <v>1349</v>
      </c>
      <c r="Z19" s="71">
        <v>2212</v>
      </c>
      <c r="AA19" s="74">
        <v>2811</v>
      </c>
    </row>
    <row r="20" spans="1:27" ht="24" customHeight="1" x14ac:dyDescent="0.35">
      <c r="B20" s="225"/>
      <c r="C20" s="49">
        <v>0.21420800000000001</v>
      </c>
      <c r="D20" s="50">
        <v>0.2211661</v>
      </c>
      <c r="E20" s="51">
        <v>0.2081393</v>
      </c>
      <c r="F20" s="50">
        <v>0.18932789999999999</v>
      </c>
      <c r="G20" s="51">
        <v>0.21170169999999999</v>
      </c>
      <c r="H20" s="51">
        <v>0.2201417</v>
      </c>
      <c r="I20" s="51">
        <v>0.2204554</v>
      </c>
      <c r="J20" s="50">
        <v>0.20195550000000001</v>
      </c>
      <c r="K20" s="51">
        <v>0.2185037</v>
      </c>
      <c r="L20" s="51">
        <v>0.2199149</v>
      </c>
      <c r="M20" s="50">
        <v>0.18049860000000001</v>
      </c>
      <c r="N20" s="51">
        <v>0.22224360000000001</v>
      </c>
      <c r="O20" s="51">
        <v>0.20651520000000001</v>
      </c>
      <c r="P20" s="51">
        <v>0.21711430000000001</v>
      </c>
      <c r="Q20" s="50">
        <v>0.20424049999999999</v>
      </c>
      <c r="R20" s="51">
        <v>0.23363539999999999</v>
      </c>
      <c r="S20" s="51">
        <v>0.2045399</v>
      </c>
      <c r="T20" s="50">
        <v>0.2113091</v>
      </c>
      <c r="U20" s="51">
        <v>0.2177895</v>
      </c>
      <c r="V20" s="51">
        <v>0.21676709999999999</v>
      </c>
      <c r="W20" s="51">
        <v>0.2348461</v>
      </c>
      <c r="X20" s="50">
        <v>0.2224382</v>
      </c>
      <c r="Y20" s="51">
        <v>0.1964891</v>
      </c>
      <c r="Z20" s="50">
        <v>0.2092561</v>
      </c>
      <c r="AA20" s="52">
        <v>0.22009600000000001</v>
      </c>
    </row>
    <row r="21" spans="1:27" s="93" customFormat="1" ht="21" customHeight="1" x14ac:dyDescent="0.35">
      <c r="A21" s="65"/>
      <c r="B21" s="228" t="s">
        <v>79</v>
      </c>
      <c r="C21" s="63">
        <v>4875</v>
      </c>
      <c r="D21" s="70">
        <v>2496</v>
      </c>
      <c r="E21" s="65">
        <v>2357</v>
      </c>
      <c r="F21" s="71">
        <v>590</v>
      </c>
      <c r="G21" s="72">
        <v>1069</v>
      </c>
      <c r="H21" s="73">
        <v>1173</v>
      </c>
      <c r="I21" s="65">
        <v>2043</v>
      </c>
      <c r="J21" s="71">
        <v>1043</v>
      </c>
      <c r="K21" s="73">
        <v>1957</v>
      </c>
      <c r="L21" s="65">
        <v>1498</v>
      </c>
      <c r="M21" s="71">
        <v>503</v>
      </c>
      <c r="N21" s="72">
        <v>2412</v>
      </c>
      <c r="O21" s="73">
        <v>422</v>
      </c>
      <c r="P21" s="65">
        <v>1488</v>
      </c>
      <c r="Q21" s="71">
        <v>1924</v>
      </c>
      <c r="R21" s="73">
        <v>1727</v>
      </c>
      <c r="S21" s="65">
        <v>1211</v>
      </c>
      <c r="T21" s="71">
        <v>1063</v>
      </c>
      <c r="U21" s="72">
        <v>2023</v>
      </c>
      <c r="V21" s="73">
        <v>718</v>
      </c>
      <c r="W21" s="65">
        <v>479</v>
      </c>
      <c r="X21" s="70">
        <v>3334</v>
      </c>
      <c r="Y21" s="65">
        <v>1425</v>
      </c>
      <c r="Z21" s="71">
        <v>1968</v>
      </c>
      <c r="AA21" s="74">
        <v>2659</v>
      </c>
    </row>
    <row r="22" spans="1:27" ht="24" customHeight="1" x14ac:dyDescent="0.35">
      <c r="B22" s="225"/>
      <c r="C22" s="49">
        <v>0.1985558</v>
      </c>
      <c r="D22" s="50">
        <v>0.2050266</v>
      </c>
      <c r="E22" s="51">
        <v>0.1918734</v>
      </c>
      <c r="F22" s="50">
        <v>0.1807831</v>
      </c>
      <c r="G22" s="51">
        <v>0.18767300000000001</v>
      </c>
      <c r="H22" s="51">
        <v>0.1928522</v>
      </c>
      <c r="I22" s="51">
        <v>0.21481520000000001</v>
      </c>
      <c r="J22" s="50">
        <v>0.19388520000000001</v>
      </c>
      <c r="K22" s="51">
        <v>0.2014243</v>
      </c>
      <c r="L22" s="51">
        <v>0.20273450000000001</v>
      </c>
      <c r="M22" s="50">
        <v>0.19648099999999999</v>
      </c>
      <c r="N22" s="51">
        <v>0.20376320000000001</v>
      </c>
      <c r="O22" s="51">
        <v>0.172933</v>
      </c>
      <c r="P22" s="51">
        <v>0.2008498</v>
      </c>
      <c r="Q22" s="50">
        <v>0.1934891</v>
      </c>
      <c r="R22" s="51">
        <v>0.2033652</v>
      </c>
      <c r="S22" s="51">
        <v>0.19985220000000001</v>
      </c>
      <c r="T22" s="50">
        <v>0.17090520000000001</v>
      </c>
      <c r="U22" s="51">
        <v>0.220669</v>
      </c>
      <c r="V22" s="51">
        <v>0.19783210000000001</v>
      </c>
      <c r="W22" s="51">
        <v>0.1934246</v>
      </c>
      <c r="X22" s="50">
        <v>0.19681889999999999</v>
      </c>
      <c r="Y22" s="51">
        <v>0.2075689</v>
      </c>
      <c r="Z22" s="50">
        <v>0.1861795</v>
      </c>
      <c r="AA22" s="52">
        <v>0.20818590000000001</v>
      </c>
    </row>
    <row r="23" spans="1:27" s="93" customFormat="1" ht="21" customHeight="1" x14ac:dyDescent="0.35">
      <c r="A23" s="65"/>
      <c r="B23" s="228" t="s">
        <v>80</v>
      </c>
      <c r="C23" s="63">
        <v>2644</v>
      </c>
      <c r="D23" s="70">
        <v>1165</v>
      </c>
      <c r="E23" s="65">
        <v>1460</v>
      </c>
      <c r="F23" s="71">
        <v>367</v>
      </c>
      <c r="G23" s="72">
        <v>571</v>
      </c>
      <c r="H23" s="73">
        <v>626</v>
      </c>
      <c r="I23" s="65">
        <v>1080</v>
      </c>
      <c r="J23" s="71">
        <v>511</v>
      </c>
      <c r="K23" s="73">
        <v>1063</v>
      </c>
      <c r="L23" s="65">
        <v>838</v>
      </c>
      <c r="M23" s="71">
        <v>281</v>
      </c>
      <c r="N23" s="72">
        <v>1245</v>
      </c>
      <c r="O23" s="73">
        <v>286</v>
      </c>
      <c r="P23" s="65">
        <v>788</v>
      </c>
      <c r="Q23" s="71">
        <v>1064</v>
      </c>
      <c r="R23" s="73">
        <v>914</v>
      </c>
      <c r="S23" s="65">
        <v>657</v>
      </c>
      <c r="T23" s="71">
        <v>705</v>
      </c>
      <c r="U23" s="72">
        <v>856</v>
      </c>
      <c r="V23" s="73">
        <v>421</v>
      </c>
      <c r="W23" s="65">
        <v>298</v>
      </c>
      <c r="X23" s="70">
        <v>1739</v>
      </c>
      <c r="Y23" s="65">
        <v>802</v>
      </c>
      <c r="Z23" s="71">
        <v>1080</v>
      </c>
      <c r="AA23" s="74">
        <v>1448</v>
      </c>
    </row>
    <row r="24" spans="1:27" ht="24" customHeight="1" x14ac:dyDescent="0.35">
      <c r="B24" s="225"/>
      <c r="C24" s="49">
        <v>0.1077106</v>
      </c>
      <c r="D24" s="50">
        <v>9.5688800000000004E-2</v>
      </c>
      <c r="E24" s="51">
        <v>0.1188173</v>
      </c>
      <c r="F24" s="50">
        <v>0.112411</v>
      </c>
      <c r="G24" s="51">
        <v>0.10032919999999999</v>
      </c>
      <c r="H24" s="51">
        <v>0.1030358</v>
      </c>
      <c r="I24" s="51">
        <v>0.11350300000000001</v>
      </c>
      <c r="J24" s="50">
        <v>9.5074900000000004E-2</v>
      </c>
      <c r="K24" s="51">
        <v>0.10944</v>
      </c>
      <c r="L24" s="51">
        <v>0.1133846</v>
      </c>
      <c r="M24" s="50">
        <v>0.1096448</v>
      </c>
      <c r="N24" s="51">
        <v>0.1051556</v>
      </c>
      <c r="O24" s="51">
        <v>0.1173655</v>
      </c>
      <c r="P24" s="51">
        <v>0.1063848</v>
      </c>
      <c r="Q24" s="50">
        <v>0.1070315</v>
      </c>
      <c r="R24" s="51">
        <v>0.1076911</v>
      </c>
      <c r="S24" s="51">
        <v>0.10846939999999999</v>
      </c>
      <c r="T24" s="50">
        <v>0.11340450000000001</v>
      </c>
      <c r="U24" s="51">
        <v>9.3366199999999996E-2</v>
      </c>
      <c r="V24" s="51">
        <v>0.1158476</v>
      </c>
      <c r="W24" s="51">
        <v>0.1203655</v>
      </c>
      <c r="X24" s="50">
        <v>0.1026676</v>
      </c>
      <c r="Y24" s="51">
        <v>0.1167941</v>
      </c>
      <c r="Z24" s="50">
        <v>0.1021658</v>
      </c>
      <c r="AA24" s="52">
        <v>0.11338570000000001</v>
      </c>
    </row>
    <row r="25" spans="1:27" s="93" customFormat="1" ht="21" customHeight="1" x14ac:dyDescent="0.35">
      <c r="A25" s="65"/>
      <c r="B25" s="228" t="s">
        <v>81</v>
      </c>
      <c r="C25" s="63">
        <v>435</v>
      </c>
      <c r="D25" s="70">
        <v>242</v>
      </c>
      <c r="E25" s="65">
        <v>189</v>
      </c>
      <c r="F25" s="71">
        <v>73</v>
      </c>
      <c r="G25" s="72">
        <v>115</v>
      </c>
      <c r="H25" s="73">
        <v>130</v>
      </c>
      <c r="I25" s="65">
        <v>116</v>
      </c>
      <c r="J25" s="71">
        <v>102</v>
      </c>
      <c r="K25" s="73">
        <v>158</v>
      </c>
      <c r="L25" s="65">
        <v>101</v>
      </c>
      <c r="M25" s="71">
        <v>85</v>
      </c>
      <c r="N25" s="72">
        <v>210</v>
      </c>
      <c r="O25" s="73">
        <v>34</v>
      </c>
      <c r="P25" s="65">
        <v>93</v>
      </c>
      <c r="Q25" s="71">
        <v>168</v>
      </c>
      <c r="R25" s="73">
        <v>150</v>
      </c>
      <c r="S25" s="65">
        <v>111</v>
      </c>
      <c r="T25" s="71">
        <v>110</v>
      </c>
      <c r="U25" s="72">
        <v>125</v>
      </c>
      <c r="V25" s="73">
        <v>48</v>
      </c>
      <c r="W25" s="65">
        <v>46</v>
      </c>
      <c r="X25" s="70">
        <v>284</v>
      </c>
      <c r="Y25" s="65">
        <v>135</v>
      </c>
      <c r="Z25" s="71">
        <v>219</v>
      </c>
      <c r="AA25" s="74">
        <v>186</v>
      </c>
    </row>
    <row r="26" spans="1:27" ht="24" customHeight="1" x14ac:dyDescent="0.35">
      <c r="B26" s="225"/>
      <c r="C26" s="49">
        <v>1.7701600000000001E-2</v>
      </c>
      <c r="D26" s="50">
        <v>1.9913899999999998E-2</v>
      </c>
      <c r="E26" s="51">
        <v>1.5401099999999999E-2</v>
      </c>
      <c r="F26" s="50">
        <v>2.2480199999999999E-2</v>
      </c>
      <c r="G26" s="51">
        <v>2.01421E-2</v>
      </c>
      <c r="H26" s="51">
        <v>2.1437000000000001E-2</v>
      </c>
      <c r="I26" s="51">
        <v>1.22132E-2</v>
      </c>
      <c r="J26" s="50">
        <v>1.8928299999999999E-2</v>
      </c>
      <c r="K26" s="51">
        <v>1.6279200000000001E-2</v>
      </c>
      <c r="L26" s="51">
        <v>1.3617799999999999E-2</v>
      </c>
      <c r="M26" s="50">
        <v>3.31025E-2</v>
      </c>
      <c r="N26" s="51">
        <v>1.7741199999999999E-2</v>
      </c>
      <c r="O26" s="51">
        <v>1.3739100000000001E-2</v>
      </c>
      <c r="P26" s="51">
        <v>1.2495900000000001E-2</v>
      </c>
      <c r="Q26" s="50">
        <v>1.6860799999999999E-2</v>
      </c>
      <c r="R26" s="51">
        <v>1.7681200000000001E-2</v>
      </c>
      <c r="S26" s="51">
        <v>1.8300899999999998E-2</v>
      </c>
      <c r="T26" s="50">
        <v>1.7629800000000001E-2</v>
      </c>
      <c r="U26" s="51">
        <v>1.35806E-2</v>
      </c>
      <c r="V26" s="51">
        <v>1.31798E-2</v>
      </c>
      <c r="W26" s="51">
        <v>1.8365699999999999E-2</v>
      </c>
      <c r="X26" s="50">
        <v>1.67584E-2</v>
      </c>
      <c r="Y26" s="51">
        <v>1.96087E-2</v>
      </c>
      <c r="Z26" s="50">
        <v>2.07496E-2</v>
      </c>
      <c r="AA26" s="52">
        <v>1.45524E-2</v>
      </c>
    </row>
    <row r="27" spans="1:27" s="94" customFormat="1" ht="20.25" customHeight="1" x14ac:dyDescent="0.35">
      <c r="A27" s="26"/>
      <c r="B27" s="232" t="s">
        <v>55</v>
      </c>
      <c r="C27" s="16">
        <v>687</v>
      </c>
      <c r="D27" s="18">
        <v>346</v>
      </c>
      <c r="E27" s="17">
        <v>339</v>
      </c>
      <c r="F27" s="19">
        <v>82</v>
      </c>
      <c r="G27" s="20">
        <v>93</v>
      </c>
      <c r="H27" s="21">
        <v>147</v>
      </c>
      <c r="I27" s="17">
        <v>365</v>
      </c>
      <c r="J27" s="19">
        <v>218</v>
      </c>
      <c r="K27" s="21">
        <v>232</v>
      </c>
      <c r="L27" s="17">
        <v>122</v>
      </c>
      <c r="M27" s="19">
        <v>43</v>
      </c>
      <c r="N27" s="20">
        <v>228</v>
      </c>
      <c r="O27" s="21">
        <v>57</v>
      </c>
      <c r="P27" s="17">
        <v>341</v>
      </c>
      <c r="Q27" s="19">
        <v>326</v>
      </c>
      <c r="R27" s="21">
        <v>190</v>
      </c>
      <c r="S27" s="17">
        <v>168</v>
      </c>
      <c r="T27" s="19">
        <v>248</v>
      </c>
      <c r="U27" s="20">
        <v>185</v>
      </c>
      <c r="V27" s="21">
        <v>94</v>
      </c>
      <c r="W27" s="17">
        <v>59</v>
      </c>
      <c r="X27" s="18">
        <v>451</v>
      </c>
      <c r="Y27" s="17">
        <v>185</v>
      </c>
      <c r="Z27" s="19">
        <v>321</v>
      </c>
      <c r="AA27" s="32">
        <v>313</v>
      </c>
    </row>
    <row r="28" spans="1:27" ht="24" customHeight="1" thickBot="1" x14ac:dyDescent="0.4">
      <c r="B28" s="234"/>
      <c r="C28" s="22">
        <v>2.8000400000000002E-2</v>
      </c>
      <c r="D28" s="23">
        <v>2.84353E-2</v>
      </c>
      <c r="E28" s="24">
        <v>2.7621E-2</v>
      </c>
      <c r="F28" s="23">
        <v>2.5139600000000002E-2</v>
      </c>
      <c r="G28" s="24">
        <v>1.6406199999999999E-2</v>
      </c>
      <c r="H28" s="24">
        <v>2.41198E-2</v>
      </c>
      <c r="I28" s="24">
        <v>3.8401900000000003E-2</v>
      </c>
      <c r="J28" s="23">
        <v>4.0489299999999999E-2</v>
      </c>
      <c r="K28" s="24">
        <v>2.3843E-2</v>
      </c>
      <c r="L28" s="24">
        <v>1.65106E-2</v>
      </c>
      <c r="M28" s="23">
        <v>1.6664100000000001E-2</v>
      </c>
      <c r="N28" s="24">
        <v>1.9277599999999999E-2</v>
      </c>
      <c r="O28" s="24">
        <v>2.3544599999999999E-2</v>
      </c>
      <c r="P28" s="24">
        <v>4.6084800000000002E-2</v>
      </c>
      <c r="Q28" s="23">
        <v>3.2749899999999998E-2</v>
      </c>
      <c r="R28" s="24">
        <v>2.23859E-2</v>
      </c>
      <c r="S28" s="24">
        <v>2.7700700000000002E-2</v>
      </c>
      <c r="T28" s="23">
        <v>3.99336E-2</v>
      </c>
      <c r="U28" s="24">
        <v>2.0168999999999999E-2</v>
      </c>
      <c r="V28" s="24">
        <v>2.5901799999999999E-2</v>
      </c>
      <c r="W28" s="24">
        <v>2.3949399999999999E-2</v>
      </c>
      <c r="X28" s="23">
        <v>2.6644399999999999E-2</v>
      </c>
      <c r="Y28" s="24">
        <v>2.6928799999999999E-2</v>
      </c>
      <c r="Z28" s="23">
        <v>3.0337599999999999E-2</v>
      </c>
      <c r="AA28" s="33">
        <v>2.4493999999999998E-2</v>
      </c>
    </row>
    <row r="29" spans="1:27" x14ac:dyDescent="0.35">
      <c r="B29" s="1"/>
    </row>
    <row r="30" spans="1:27" ht="24.75" customHeight="1" x14ac:dyDescent="0.35"/>
    <row r="31" spans="1:27" x14ac:dyDescent="0.35"/>
    <row r="32" spans="1:27" ht="24" customHeight="1" x14ac:dyDescent="0.35"/>
    <row r="33" x14ac:dyDescent="0.35"/>
    <row r="34" ht="24" customHeight="1" x14ac:dyDescent="0.35"/>
    <row r="35" x14ac:dyDescent="0.35"/>
    <row r="36" ht="24" customHeight="1" x14ac:dyDescent="0.35"/>
    <row r="37" x14ac:dyDescent="0.35"/>
    <row r="38" ht="24" customHeight="1" x14ac:dyDescent="0.35"/>
    <row r="39" x14ac:dyDescent="0.35"/>
    <row r="40" ht="24" customHeight="1" x14ac:dyDescent="0.35"/>
    <row r="41" x14ac:dyDescent="0.35"/>
    <row r="42" ht="24" customHeight="1" x14ac:dyDescent="0.35"/>
    <row r="43" x14ac:dyDescent="0.35"/>
    <row r="44" ht="24" customHeight="1" x14ac:dyDescent="0.35"/>
  </sheetData>
  <mergeCells count="16">
    <mergeCell ref="B25:B26"/>
    <mergeCell ref="B27:B28"/>
    <mergeCell ref="B15:B16"/>
    <mergeCell ref="B17:B18"/>
    <mergeCell ref="B19:B20"/>
    <mergeCell ref="B21:B22"/>
    <mergeCell ref="B23:B24"/>
    <mergeCell ref="T9:W9"/>
    <mergeCell ref="X9:Y9"/>
    <mergeCell ref="Z9:AA9"/>
    <mergeCell ref="B13:B14"/>
    <mergeCell ref="D9:E9"/>
    <mergeCell ref="F9:I9"/>
    <mergeCell ref="J9:L9"/>
    <mergeCell ref="M9:P9"/>
    <mergeCell ref="Q9:S9"/>
  </mergeCells>
  <hyperlinks>
    <hyperlink ref="B1" location="'Table of Contents'!A1" display="Home" xr:uid="{20798EB0-9AE0-FD4A-8C03-6A91223CA78C}"/>
  </hyperlinks>
  <pageMargins left="0.7" right="0.7" top="0.75" bottom="0.75" header="0.511811023622047" footer="0.511811023622047"/>
  <pageSetup paperSize="9" orientation="portrait" useFirstPageNumber="1"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11"/>
  <dimension ref="A1:AA44"/>
  <sheetViews>
    <sheetView showGridLines="0" zoomScale="60" zoomScaleNormal="60" workbookViewId="0"/>
  </sheetViews>
  <sheetFormatPr defaultColWidth="20.6328125" defaultRowHeight="19" customHeight="1" x14ac:dyDescent="0.35"/>
  <cols>
    <col min="1" max="1" width="8.81640625" style="1" customWidth="1"/>
    <col min="2" max="2" width="100.6328125" style="3" customWidth="1"/>
    <col min="3" max="3" width="20.6328125" style="2"/>
    <col min="4" max="27" width="20.6328125" style="1"/>
    <col min="28" max="16384" width="20.6328125" style="87"/>
  </cols>
  <sheetData>
    <row r="1" spans="1:27" x14ac:dyDescent="0.35">
      <c r="B1" s="37" t="s">
        <v>0</v>
      </c>
    </row>
    <row r="2" spans="1:27" x14ac:dyDescent="0.35">
      <c r="B2" s="3" t="s">
        <v>442</v>
      </c>
    </row>
    <row r="3" spans="1:27" s="88" customFormat="1" x14ac:dyDescent="0.35">
      <c r="A3" s="2"/>
      <c r="B3" s="3" t="s">
        <v>1</v>
      </c>
      <c r="C3" s="2"/>
      <c r="D3" s="2"/>
      <c r="E3" s="2"/>
      <c r="F3" s="2"/>
      <c r="G3" s="2"/>
      <c r="H3" s="2"/>
      <c r="I3" s="2"/>
      <c r="J3" s="2"/>
      <c r="K3" s="2"/>
      <c r="L3" s="2"/>
      <c r="M3" s="2"/>
      <c r="N3" s="2"/>
      <c r="O3" s="2"/>
      <c r="P3" s="2"/>
      <c r="Q3" s="2"/>
      <c r="R3" s="2"/>
      <c r="S3" s="2"/>
      <c r="T3" s="2"/>
      <c r="U3" s="2"/>
      <c r="V3" s="2"/>
      <c r="W3" s="2"/>
      <c r="X3" s="2"/>
      <c r="Y3" s="2"/>
      <c r="Z3" s="2"/>
      <c r="AA3" s="2"/>
    </row>
    <row r="4" spans="1:27" x14ac:dyDescent="0.35">
      <c r="B4" s="3" t="s">
        <v>2</v>
      </c>
    </row>
    <row r="6" spans="1:27" s="88" customFormat="1" ht="19" customHeight="1" x14ac:dyDescent="0.35">
      <c r="A6" s="2"/>
      <c r="B6" s="28" t="s">
        <v>84</v>
      </c>
      <c r="C6" s="2"/>
      <c r="D6" s="2"/>
      <c r="E6" s="2"/>
      <c r="F6" s="2"/>
      <c r="G6" s="2"/>
      <c r="H6" s="2"/>
      <c r="I6" s="2"/>
      <c r="J6" s="2"/>
      <c r="K6" s="2"/>
      <c r="L6" s="2"/>
      <c r="M6" s="2"/>
      <c r="N6" s="2"/>
      <c r="O6" s="2"/>
      <c r="P6" s="2"/>
      <c r="Q6" s="2"/>
      <c r="R6" s="2"/>
      <c r="S6" s="2"/>
      <c r="T6" s="2"/>
      <c r="U6" s="2"/>
      <c r="V6" s="2"/>
      <c r="W6" s="2"/>
      <c r="X6" s="2"/>
      <c r="Y6" s="2"/>
      <c r="Z6" s="2"/>
      <c r="AA6" s="2"/>
    </row>
    <row r="7" spans="1:27" ht="19.5" customHeight="1" x14ac:dyDescent="0.35">
      <c r="B7" s="215" t="s">
        <v>415</v>
      </c>
    </row>
    <row r="8" spans="1:27" ht="19" customHeight="1" thickBot="1" x14ac:dyDescent="0.4">
      <c r="A8" s="2"/>
    </row>
    <row r="9" spans="1:27" s="89" customFormat="1" ht="19.5" customHeight="1" x14ac:dyDescent="0.4">
      <c r="A9" s="2"/>
      <c r="B9" s="5"/>
      <c r="C9" s="6" t="s">
        <v>21</v>
      </c>
      <c r="D9" s="221" t="s">
        <v>22</v>
      </c>
      <c r="E9" s="222"/>
      <c r="F9" s="221" t="s">
        <v>23</v>
      </c>
      <c r="G9" s="222"/>
      <c r="H9" s="222"/>
      <c r="I9" s="222"/>
      <c r="J9" s="221" t="s">
        <v>24</v>
      </c>
      <c r="K9" s="222"/>
      <c r="L9" s="222"/>
      <c r="M9" s="221" t="s">
        <v>25</v>
      </c>
      <c r="N9" s="222"/>
      <c r="O9" s="222"/>
      <c r="P9" s="222"/>
      <c r="Q9" s="221" t="s">
        <v>26</v>
      </c>
      <c r="R9" s="222"/>
      <c r="S9" s="222"/>
      <c r="T9" s="221" t="s">
        <v>27</v>
      </c>
      <c r="U9" s="222"/>
      <c r="V9" s="222"/>
      <c r="W9" s="222"/>
      <c r="X9" s="221" t="s">
        <v>28</v>
      </c>
      <c r="Y9" s="222"/>
      <c r="Z9" s="221" t="s">
        <v>29</v>
      </c>
      <c r="AA9" s="223"/>
    </row>
    <row r="10" spans="1:27" s="89" customFormat="1" ht="57" customHeight="1" thickBot="1" x14ac:dyDescent="0.45">
      <c r="A10" s="2"/>
      <c r="B10" s="91"/>
      <c r="C10" s="7" t="e" vm="1">
        <v>#VALUE!</v>
      </c>
      <c r="D10" s="8" t="s">
        <v>30</v>
      </c>
      <c r="E10" s="9" t="s">
        <v>31</v>
      </c>
      <c r="F10" s="10" t="s">
        <v>32</v>
      </c>
      <c r="G10" s="11" t="s">
        <v>33</v>
      </c>
      <c r="H10" s="12" t="s">
        <v>34</v>
      </c>
      <c r="I10" s="9" t="s">
        <v>35</v>
      </c>
      <c r="J10" s="10" t="s">
        <v>36</v>
      </c>
      <c r="K10" s="12" t="s">
        <v>37</v>
      </c>
      <c r="L10" s="9" t="s">
        <v>38</v>
      </c>
      <c r="M10" s="10" t="s">
        <v>39</v>
      </c>
      <c r="N10" s="11" t="s">
        <v>40</v>
      </c>
      <c r="O10" s="12" t="s">
        <v>41</v>
      </c>
      <c r="P10" s="9" t="s">
        <v>42</v>
      </c>
      <c r="Q10" s="10" t="s">
        <v>43</v>
      </c>
      <c r="R10" s="12" t="s">
        <v>44</v>
      </c>
      <c r="S10" s="9" t="s">
        <v>45</v>
      </c>
      <c r="T10" s="34">
        <v>1</v>
      </c>
      <c r="U10" s="35">
        <v>2</v>
      </c>
      <c r="V10" s="36">
        <v>3</v>
      </c>
      <c r="W10" s="9" t="s">
        <v>46</v>
      </c>
      <c r="X10" s="13" t="s">
        <v>409</v>
      </c>
      <c r="Y10" s="9" t="s">
        <v>410</v>
      </c>
      <c r="Z10" s="10" t="s">
        <v>409</v>
      </c>
      <c r="AA10" s="31" t="s">
        <v>410</v>
      </c>
    </row>
    <row r="11" spans="1:27" s="92" customFormat="1" ht="18.75" customHeight="1" x14ac:dyDescent="0.35">
      <c r="A11" s="25"/>
      <c r="B11" s="14" t="s">
        <v>49</v>
      </c>
      <c r="C11" s="26">
        <v>27292</v>
      </c>
      <c r="D11" s="39">
        <v>13488</v>
      </c>
      <c r="E11" s="26">
        <v>13685</v>
      </c>
      <c r="F11" s="40">
        <v>3682</v>
      </c>
      <c r="G11" s="41">
        <v>7667</v>
      </c>
      <c r="H11" s="42">
        <v>7751</v>
      </c>
      <c r="I11" s="26">
        <v>8192</v>
      </c>
      <c r="J11" s="40">
        <v>2780</v>
      </c>
      <c r="K11" s="42">
        <v>9601</v>
      </c>
      <c r="L11" s="26">
        <v>12258</v>
      </c>
      <c r="M11" s="40">
        <v>2997</v>
      </c>
      <c r="N11" s="41">
        <v>14034</v>
      </c>
      <c r="O11" s="42">
        <v>2839</v>
      </c>
      <c r="P11" s="26">
        <v>6900</v>
      </c>
      <c r="Q11" s="40">
        <v>10494</v>
      </c>
      <c r="R11" s="42">
        <v>10245</v>
      </c>
      <c r="S11" s="26">
        <v>6421</v>
      </c>
      <c r="T11" s="40">
        <v>6218</v>
      </c>
      <c r="U11" s="41">
        <v>10287</v>
      </c>
      <c r="V11" s="42">
        <v>4457</v>
      </c>
      <c r="W11" s="26">
        <v>3439</v>
      </c>
      <c r="X11" s="39">
        <v>17539</v>
      </c>
      <c r="Y11" s="26">
        <v>8634</v>
      </c>
      <c r="Z11" s="40">
        <v>11191</v>
      </c>
      <c r="AA11" s="43">
        <v>14524</v>
      </c>
    </row>
    <row r="12" spans="1:27" s="92" customFormat="1" ht="18.75" customHeight="1" thickBot="1" x14ac:dyDescent="0.4">
      <c r="A12" s="26"/>
      <c r="B12" s="15" t="s">
        <v>50</v>
      </c>
      <c r="C12" s="44">
        <v>27292</v>
      </c>
      <c r="D12" s="45">
        <v>13117</v>
      </c>
      <c r="E12" s="46">
        <v>14056</v>
      </c>
      <c r="F12" s="45">
        <v>3535</v>
      </c>
      <c r="G12" s="47">
        <v>6272</v>
      </c>
      <c r="H12" s="47">
        <v>6843</v>
      </c>
      <c r="I12" s="46">
        <v>10643</v>
      </c>
      <c r="J12" s="45">
        <v>5987</v>
      </c>
      <c r="K12" s="47">
        <v>10797</v>
      </c>
      <c r="L12" s="46">
        <v>7855</v>
      </c>
      <c r="M12" s="45">
        <v>2765</v>
      </c>
      <c r="N12" s="47">
        <v>12846</v>
      </c>
      <c r="O12" s="47">
        <v>2724</v>
      </c>
      <c r="P12" s="46">
        <v>8517</v>
      </c>
      <c r="Q12" s="45">
        <v>10940</v>
      </c>
      <c r="R12" s="47">
        <v>9369</v>
      </c>
      <c r="S12" s="46">
        <v>6851</v>
      </c>
      <c r="T12" s="45">
        <v>7012</v>
      </c>
      <c r="U12" s="47">
        <v>10099</v>
      </c>
      <c r="V12" s="47">
        <v>3919</v>
      </c>
      <c r="W12" s="46">
        <v>2709</v>
      </c>
      <c r="X12" s="45">
        <v>18568</v>
      </c>
      <c r="Y12" s="46">
        <v>7508</v>
      </c>
      <c r="Z12" s="45">
        <v>11570</v>
      </c>
      <c r="AA12" s="48">
        <v>13901</v>
      </c>
    </row>
    <row r="13" spans="1:27" s="93" customFormat="1" ht="21" customHeight="1" x14ac:dyDescent="0.35">
      <c r="A13" s="65"/>
      <c r="B13" s="224" t="s">
        <v>75</v>
      </c>
      <c r="C13" s="63">
        <v>9838</v>
      </c>
      <c r="D13" s="64">
        <v>4413</v>
      </c>
      <c r="E13" s="65">
        <v>5382</v>
      </c>
      <c r="F13" s="66">
        <v>1293</v>
      </c>
      <c r="G13" s="67">
        <v>2001</v>
      </c>
      <c r="H13" s="68">
        <v>2499</v>
      </c>
      <c r="I13" s="65">
        <v>4044</v>
      </c>
      <c r="J13" s="66">
        <v>2072</v>
      </c>
      <c r="K13" s="68">
        <v>4084</v>
      </c>
      <c r="L13" s="65">
        <v>2880</v>
      </c>
      <c r="M13" s="66">
        <v>1088</v>
      </c>
      <c r="N13" s="67">
        <v>4555</v>
      </c>
      <c r="O13" s="68">
        <v>918</v>
      </c>
      <c r="P13" s="65">
        <v>3157</v>
      </c>
      <c r="Q13" s="66">
        <v>3962</v>
      </c>
      <c r="R13" s="68">
        <v>3268</v>
      </c>
      <c r="S13" s="65">
        <v>2583</v>
      </c>
      <c r="T13" s="66">
        <v>2521</v>
      </c>
      <c r="U13" s="67">
        <v>3605</v>
      </c>
      <c r="V13" s="68">
        <v>1559</v>
      </c>
      <c r="W13" s="65">
        <v>964</v>
      </c>
      <c r="X13" s="64">
        <v>6635</v>
      </c>
      <c r="Y13" s="65">
        <v>2844</v>
      </c>
      <c r="Z13" s="66">
        <v>4155</v>
      </c>
      <c r="AA13" s="69">
        <v>5176</v>
      </c>
    </row>
    <row r="14" spans="1:27" ht="24" customHeight="1" x14ac:dyDescent="0.35">
      <c r="B14" s="225"/>
      <c r="C14" s="49">
        <v>0.36047469999999998</v>
      </c>
      <c r="D14" s="50">
        <v>0.33640900000000001</v>
      </c>
      <c r="E14" s="51">
        <v>0.3829263</v>
      </c>
      <c r="F14" s="50">
        <v>0.36584139999999998</v>
      </c>
      <c r="G14" s="51">
        <v>0.31909569999999998</v>
      </c>
      <c r="H14" s="51">
        <v>0.3652647</v>
      </c>
      <c r="I14" s="51">
        <v>0.379996</v>
      </c>
      <c r="J14" s="50">
        <v>0.34610550000000001</v>
      </c>
      <c r="K14" s="51">
        <v>0.37822549999999999</v>
      </c>
      <c r="L14" s="51">
        <v>0.36667529999999998</v>
      </c>
      <c r="M14" s="50">
        <v>0.39357619999999999</v>
      </c>
      <c r="N14" s="51">
        <v>0.35458610000000002</v>
      </c>
      <c r="O14" s="51">
        <v>0.33710200000000001</v>
      </c>
      <c r="P14" s="51">
        <v>0.37062460000000003</v>
      </c>
      <c r="Q14" s="50">
        <v>0.36212909999999998</v>
      </c>
      <c r="R14" s="51">
        <v>0.34876940000000001</v>
      </c>
      <c r="S14" s="51">
        <v>0.37698959999999998</v>
      </c>
      <c r="T14" s="50">
        <v>0.35955280000000001</v>
      </c>
      <c r="U14" s="51">
        <v>0.35699379999999997</v>
      </c>
      <c r="V14" s="51">
        <v>0.397901</v>
      </c>
      <c r="W14" s="51">
        <v>0.35583320000000002</v>
      </c>
      <c r="X14" s="50">
        <v>0.35734470000000002</v>
      </c>
      <c r="Y14" s="51">
        <v>0.37883070000000002</v>
      </c>
      <c r="Z14" s="50">
        <v>0.3591454</v>
      </c>
      <c r="AA14" s="52">
        <v>0.37234200000000001</v>
      </c>
    </row>
    <row r="15" spans="1:27" s="93" customFormat="1" ht="21" customHeight="1" x14ac:dyDescent="0.35">
      <c r="A15" s="65"/>
      <c r="B15" s="228" t="s">
        <v>76</v>
      </c>
      <c r="C15" s="63">
        <v>6125</v>
      </c>
      <c r="D15" s="70">
        <v>3198</v>
      </c>
      <c r="E15" s="65">
        <v>2902</v>
      </c>
      <c r="F15" s="71">
        <v>1136</v>
      </c>
      <c r="G15" s="72">
        <v>1788</v>
      </c>
      <c r="H15" s="73">
        <v>1477</v>
      </c>
      <c r="I15" s="65">
        <v>1724</v>
      </c>
      <c r="J15" s="71">
        <v>1657</v>
      </c>
      <c r="K15" s="73">
        <v>2117</v>
      </c>
      <c r="L15" s="65">
        <v>1767</v>
      </c>
      <c r="M15" s="71">
        <v>732</v>
      </c>
      <c r="N15" s="72">
        <v>2971</v>
      </c>
      <c r="O15" s="73">
        <v>742</v>
      </c>
      <c r="P15" s="65">
        <v>1589</v>
      </c>
      <c r="Q15" s="71">
        <v>2617</v>
      </c>
      <c r="R15" s="73">
        <v>1961</v>
      </c>
      <c r="S15" s="65">
        <v>1529</v>
      </c>
      <c r="T15" s="71">
        <v>1595</v>
      </c>
      <c r="U15" s="72">
        <v>2027</v>
      </c>
      <c r="V15" s="73">
        <v>850</v>
      </c>
      <c r="W15" s="65">
        <v>616</v>
      </c>
      <c r="X15" s="70">
        <v>4368</v>
      </c>
      <c r="Y15" s="65">
        <v>1573</v>
      </c>
      <c r="Z15" s="71">
        <v>3076</v>
      </c>
      <c r="AA15" s="74">
        <v>2757</v>
      </c>
    </row>
    <row r="16" spans="1:27" ht="24" customHeight="1" x14ac:dyDescent="0.35">
      <c r="B16" s="225"/>
      <c r="C16" s="49">
        <v>0.22444120000000001</v>
      </c>
      <c r="D16" s="50">
        <v>0.24380499999999999</v>
      </c>
      <c r="E16" s="51">
        <v>0.2064918</v>
      </c>
      <c r="F16" s="50">
        <v>0.32141459999999999</v>
      </c>
      <c r="G16" s="51">
        <v>0.28513690000000003</v>
      </c>
      <c r="H16" s="51">
        <v>0.21581349999999999</v>
      </c>
      <c r="I16" s="51">
        <v>0.1620134</v>
      </c>
      <c r="J16" s="50">
        <v>0.27682849999999998</v>
      </c>
      <c r="K16" s="51">
        <v>0.1960626</v>
      </c>
      <c r="L16" s="51">
        <v>0.22497819999999999</v>
      </c>
      <c r="M16" s="50">
        <v>0.26461010000000001</v>
      </c>
      <c r="N16" s="51">
        <v>0.23130010000000001</v>
      </c>
      <c r="O16" s="51">
        <v>0.27232050000000002</v>
      </c>
      <c r="P16" s="51">
        <v>0.1865425</v>
      </c>
      <c r="Q16" s="50">
        <v>0.23917550000000001</v>
      </c>
      <c r="R16" s="51">
        <v>0.2092638</v>
      </c>
      <c r="S16" s="51">
        <v>0.22321969999999999</v>
      </c>
      <c r="T16" s="50">
        <v>0.22752610000000001</v>
      </c>
      <c r="U16" s="51">
        <v>0.20071620000000001</v>
      </c>
      <c r="V16" s="51">
        <v>0.21693309999999999</v>
      </c>
      <c r="W16" s="51">
        <v>0.22744149999999999</v>
      </c>
      <c r="X16" s="50">
        <v>0.23524239999999999</v>
      </c>
      <c r="Y16" s="51">
        <v>0.20945510000000001</v>
      </c>
      <c r="Z16" s="50">
        <v>0.2658392</v>
      </c>
      <c r="AA16" s="52">
        <v>0.19831689999999999</v>
      </c>
    </row>
    <row r="17" spans="1:27" s="93" customFormat="1" ht="21" customHeight="1" x14ac:dyDescent="0.35">
      <c r="A17" s="65"/>
      <c r="B17" s="228" t="s">
        <v>77</v>
      </c>
      <c r="C17" s="63">
        <v>4622</v>
      </c>
      <c r="D17" s="70">
        <v>2710</v>
      </c>
      <c r="E17" s="65">
        <v>1886</v>
      </c>
      <c r="F17" s="71">
        <v>820</v>
      </c>
      <c r="G17" s="72">
        <v>1444</v>
      </c>
      <c r="H17" s="73">
        <v>1116</v>
      </c>
      <c r="I17" s="65">
        <v>1242</v>
      </c>
      <c r="J17" s="71">
        <v>1178</v>
      </c>
      <c r="K17" s="73">
        <v>1498</v>
      </c>
      <c r="L17" s="65">
        <v>1540</v>
      </c>
      <c r="M17" s="71">
        <v>593</v>
      </c>
      <c r="N17" s="72">
        <v>2396</v>
      </c>
      <c r="O17" s="73">
        <v>522</v>
      </c>
      <c r="P17" s="65">
        <v>1054</v>
      </c>
      <c r="Q17" s="71">
        <v>1945</v>
      </c>
      <c r="R17" s="73">
        <v>1621</v>
      </c>
      <c r="S17" s="65">
        <v>1038</v>
      </c>
      <c r="T17" s="71">
        <v>1216</v>
      </c>
      <c r="U17" s="72">
        <v>1588</v>
      </c>
      <c r="V17" s="73">
        <v>618</v>
      </c>
      <c r="W17" s="65">
        <v>485</v>
      </c>
      <c r="X17" s="70">
        <v>3033</v>
      </c>
      <c r="Y17" s="65">
        <v>1502</v>
      </c>
      <c r="Z17" s="71">
        <v>1928</v>
      </c>
      <c r="AA17" s="74">
        <v>2543</v>
      </c>
    </row>
    <row r="18" spans="1:27" ht="24" customHeight="1" x14ac:dyDescent="0.35">
      <c r="B18" s="225"/>
      <c r="C18" s="49">
        <v>0.1693692</v>
      </c>
      <c r="D18" s="50">
        <v>0.20659040000000001</v>
      </c>
      <c r="E18" s="51">
        <v>0.13414599999999999</v>
      </c>
      <c r="F18" s="50">
        <v>0.2318935</v>
      </c>
      <c r="G18" s="51">
        <v>0.23025699999999999</v>
      </c>
      <c r="H18" s="51">
        <v>0.1631512</v>
      </c>
      <c r="I18" s="51">
        <v>0.11672059999999999</v>
      </c>
      <c r="J18" s="50">
        <v>0.1967691</v>
      </c>
      <c r="K18" s="51">
        <v>0.1387446</v>
      </c>
      <c r="L18" s="51">
        <v>0.19609879999999999</v>
      </c>
      <c r="M18" s="50">
        <v>0.2144797</v>
      </c>
      <c r="N18" s="51">
        <v>0.18653500000000001</v>
      </c>
      <c r="O18" s="51">
        <v>0.19152340000000001</v>
      </c>
      <c r="P18" s="51">
        <v>0.1237103</v>
      </c>
      <c r="Q18" s="50">
        <v>0.17779780000000001</v>
      </c>
      <c r="R18" s="51">
        <v>0.17300860000000001</v>
      </c>
      <c r="S18" s="51">
        <v>0.15157010000000001</v>
      </c>
      <c r="T18" s="50">
        <v>0.17347899999999999</v>
      </c>
      <c r="U18" s="51">
        <v>0.1572868</v>
      </c>
      <c r="V18" s="51">
        <v>0.1577558</v>
      </c>
      <c r="W18" s="51">
        <v>0.17891889999999999</v>
      </c>
      <c r="X18" s="50">
        <v>0.16334070000000001</v>
      </c>
      <c r="Y18" s="51">
        <v>0.20006289999999999</v>
      </c>
      <c r="Z18" s="50">
        <v>0.16666980000000001</v>
      </c>
      <c r="AA18" s="52">
        <v>0.18290509999999999</v>
      </c>
    </row>
    <row r="19" spans="1:27" s="93" customFormat="1" ht="21" customHeight="1" x14ac:dyDescent="0.35">
      <c r="A19" s="65"/>
      <c r="B19" s="228" t="s">
        <v>78</v>
      </c>
      <c r="C19" s="63">
        <v>14349</v>
      </c>
      <c r="D19" s="70">
        <v>6838</v>
      </c>
      <c r="E19" s="65">
        <v>7486</v>
      </c>
      <c r="F19" s="71">
        <v>1677</v>
      </c>
      <c r="G19" s="72">
        <v>3115</v>
      </c>
      <c r="H19" s="73">
        <v>3509</v>
      </c>
      <c r="I19" s="65">
        <v>6049</v>
      </c>
      <c r="J19" s="71">
        <v>2880</v>
      </c>
      <c r="K19" s="73">
        <v>5917</v>
      </c>
      <c r="L19" s="65">
        <v>4423</v>
      </c>
      <c r="M19" s="71">
        <v>1206</v>
      </c>
      <c r="N19" s="72">
        <v>7020</v>
      </c>
      <c r="O19" s="73">
        <v>1341</v>
      </c>
      <c r="P19" s="65">
        <v>4634</v>
      </c>
      <c r="Q19" s="71">
        <v>5674</v>
      </c>
      <c r="R19" s="73">
        <v>5140</v>
      </c>
      <c r="S19" s="65">
        <v>3517</v>
      </c>
      <c r="T19" s="71">
        <v>3618</v>
      </c>
      <c r="U19" s="72">
        <v>5700</v>
      </c>
      <c r="V19" s="73">
        <v>2141</v>
      </c>
      <c r="W19" s="65">
        <v>1486</v>
      </c>
      <c r="X19" s="70">
        <v>10740</v>
      </c>
      <c r="Y19" s="65">
        <v>3202</v>
      </c>
      <c r="Z19" s="71">
        <v>6404</v>
      </c>
      <c r="AA19" s="74">
        <v>7213</v>
      </c>
    </row>
    <row r="20" spans="1:27" ht="24" customHeight="1" x14ac:dyDescent="0.35">
      <c r="B20" s="225"/>
      <c r="C20" s="49">
        <v>0.52576400000000001</v>
      </c>
      <c r="D20" s="50">
        <v>0.52129970000000003</v>
      </c>
      <c r="E20" s="51">
        <v>0.53260280000000004</v>
      </c>
      <c r="F20" s="50">
        <v>0.47432800000000003</v>
      </c>
      <c r="G20" s="51">
        <v>0.49662240000000002</v>
      </c>
      <c r="H20" s="51">
        <v>0.51278109999999999</v>
      </c>
      <c r="I20" s="51">
        <v>0.56836739999999997</v>
      </c>
      <c r="J20" s="50">
        <v>0.48107430000000001</v>
      </c>
      <c r="K20" s="51">
        <v>0.54801270000000002</v>
      </c>
      <c r="L20" s="51">
        <v>0.56308820000000004</v>
      </c>
      <c r="M20" s="50">
        <v>0.43607010000000002</v>
      </c>
      <c r="N20" s="51">
        <v>0.54650639999999995</v>
      </c>
      <c r="O20" s="51">
        <v>0.49211490000000002</v>
      </c>
      <c r="P20" s="51">
        <v>0.5441165</v>
      </c>
      <c r="Q20" s="50">
        <v>0.51866310000000004</v>
      </c>
      <c r="R20" s="51">
        <v>0.54858660000000004</v>
      </c>
      <c r="S20" s="51">
        <v>0.51339559999999995</v>
      </c>
      <c r="T20" s="50">
        <v>0.51595740000000001</v>
      </c>
      <c r="U20" s="51">
        <v>0.56444799999999995</v>
      </c>
      <c r="V20" s="51">
        <v>0.54632519999999996</v>
      </c>
      <c r="W20" s="51">
        <v>0.54868150000000004</v>
      </c>
      <c r="X20" s="50">
        <v>0.57842470000000001</v>
      </c>
      <c r="Y20" s="51">
        <v>0.42639729999999998</v>
      </c>
      <c r="Z20" s="50">
        <v>0.55351550000000005</v>
      </c>
      <c r="AA20" s="52">
        <v>0.51891209999999999</v>
      </c>
    </row>
    <row r="21" spans="1:27" s="93" customFormat="1" ht="21" customHeight="1" x14ac:dyDescent="0.35">
      <c r="A21" s="65"/>
      <c r="B21" s="228" t="s">
        <v>79</v>
      </c>
      <c r="C21" s="63">
        <v>8493</v>
      </c>
      <c r="D21" s="70">
        <v>4612</v>
      </c>
      <c r="E21" s="65">
        <v>3848</v>
      </c>
      <c r="F21" s="71">
        <v>883</v>
      </c>
      <c r="G21" s="72">
        <v>1862</v>
      </c>
      <c r="H21" s="73">
        <v>2216</v>
      </c>
      <c r="I21" s="65">
        <v>3533</v>
      </c>
      <c r="J21" s="71">
        <v>1713</v>
      </c>
      <c r="K21" s="73">
        <v>3493</v>
      </c>
      <c r="L21" s="65">
        <v>2637</v>
      </c>
      <c r="M21" s="71">
        <v>907</v>
      </c>
      <c r="N21" s="72">
        <v>4158</v>
      </c>
      <c r="O21" s="73">
        <v>791</v>
      </c>
      <c r="P21" s="65">
        <v>2561</v>
      </c>
      <c r="Q21" s="71">
        <v>3361</v>
      </c>
      <c r="R21" s="73">
        <v>3062</v>
      </c>
      <c r="S21" s="65">
        <v>2047</v>
      </c>
      <c r="T21" s="71">
        <v>1896</v>
      </c>
      <c r="U21" s="72">
        <v>3479</v>
      </c>
      <c r="V21" s="73">
        <v>1290</v>
      </c>
      <c r="W21" s="65">
        <v>835</v>
      </c>
      <c r="X21" s="70">
        <v>5456</v>
      </c>
      <c r="Y21" s="65">
        <v>2811</v>
      </c>
      <c r="Z21" s="71">
        <v>3241</v>
      </c>
      <c r="AA21" s="74">
        <v>4832</v>
      </c>
    </row>
    <row r="22" spans="1:27" ht="24" customHeight="1" x14ac:dyDescent="0.35">
      <c r="B22" s="225"/>
      <c r="C22" s="49">
        <v>0.31119740000000001</v>
      </c>
      <c r="D22" s="50">
        <v>0.35156399999999999</v>
      </c>
      <c r="E22" s="51">
        <v>0.27374140000000002</v>
      </c>
      <c r="F22" s="50">
        <v>0.2496553</v>
      </c>
      <c r="G22" s="51">
        <v>0.29684850000000002</v>
      </c>
      <c r="H22" s="51">
        <v>0.32386759999999998</v>
      </c>
      <c r="I22" s="51">
        <v>0.33194709999999999</v>
      </c>
      <c r="J22" s="50">
        <v>0.28618149999999998</v>
      </c>
      <c r="K22" s="51">
        <v>0.32352540000000002</v>
      </c>
      <c r="L22" s="51">
        <v>0.33567439999999998</v>
      </c>
      <c r="M22" s="50">
        <v>0.32808559999999998</v>
      </c>
      <c r="N22" s="51">
        <v>0.32368590000000003</v>
      </c>
      <c r="O22" s="51">
        <v>0.2902825</v>
      </c>
      <c r="P22" s="51">
        <v>0.30065730000000002</v>
      </c>
      <c r="Q22" s="50">
        <v>0.30718859999999998</v>
      </c>
      <c r="R22" s="51">
        <v>0.32684249999999998</v>
      </c>
      <c r="S22" s="51">
        <v>0.29884300000000003</v>
      </c>
      <c r="T22" s="50">
        <v>0.27038250000000003</v>
      </c>
      <c r="U22" s="51">
        <v>0.3445105</v>
      </c>
      <c r="V22" s="51">
        <v>0.32913389999999998</v>
      </c>
      <c r="W22" s="51">
        <v>0.3082744</v>
      </c>
      <c r="X22" s="50">
        <v>0.29384959999999999</v>
      </c>
      <c r="Y22" s="51">
        <v>0.37436580000000003</v>
      </c>
      <c r="Z22" s="50">
        <v>0.28014159999999999</v>
      </c>
      <c r="AA22" s="52">
        <v>0.34758159999999999</v>
      </c>
    </row>
    <row r="23" spans="1:27" s="93" customFormat="1" ht="21" customHeight="1" x14ac:dyDescent="0.35">
      <c r="A23" s="65"/>
      <c r="B23" s="228" t="s">
        <v>80</v>
      </c>
      <c r="C23" s="63">
        <v>4553</v>
      </c>
      <c r="D23" s="70">
        <v>1985</v>
      </c>
      <c r="E23" s="65">
        <v>2539</v>
      </c>
      <c r="F23" s="71">
        <v>567</v>
      </c>
      <c r="G23" s="72">
        <v>969</v>
      </c>
      <c r="H23" s="73">
        <v>1066</v>
      </c>
      <c r="I23" s="65">
        <v>1952</v>
      </c>
      <c r="J23" s="71">
        <v>939</v>
      </c>
      <c r="K23" s="73">
        <v>1931</v>
      </c>
      <c r="L23" s="65">
        <v>1308</v>
      </c>
      <c r="M23" s="71">
        <v>470</v>
      </c>
      <c r="N23" s="72">
        <v>2140</v>
      </c>
      <c r="O23" s="73">
        <v>473</v>
      </c>
      <c r="P23" s="65">
        <v>1392</v>
      </c>
      <c r="Q23" s="71">
        <v>1833</v>
      </c>
      <c r="R23" s="73">
        <v>1589</v>
      </c>
      <c r="S23" s="65">
        <v>1120</v>
      </c>
      <c r="T23" s="71">
        <v>1234</v>
      </c>
      <c r="U23" s="72">
        <v>1628</v>
      </c>
      <c r="V23" s="73">
        <v>662</v>
      </c>
      <c r="W23" s="65">
        <v>466</v>
      </c>
      <c r="X23" s="70">
        <v>2914</v>
      </c>
      <c r="Y23" s="65">
        <v>1475</v>
      </c>
      <c r="Z23" s="71">
        <v>1801</v>
      </c>
      <c r="AA23" s="74">
        <v>2529</v>
      </c>
    </row>
    <row r="24" spans="1:27" ht="24" customHeight="1" x14ac:dyDescent="0.35">
      <c r="B24" s="225"/>
      <c r="C24" s="49">
        <v>0.166828</v>
      </c>
      <c r="D24" s="50">
        <v>0.15133540000000001</v>
      </c>
      <c r="E24" s="51">
        <v>0.1806354</v>
      </c>
      <c r="F24" s="50">
        <v>0.16027569999999999</v>
      </c>
      <c r="G24" s="51">
        <v>0.15452350000000001</v>
      </c>
      <c r="H24" s="51">
        <v>0.1557569</v>
      </c>
      <c r="I24" s="51">
        <v>0.18337300000000001</v>
      </c>
      <c r="J24" s="50">
        <v>0.15686910000000001</v>
      </c>
      <c r="K24" s="51">
        <v>0.1788402</v>
      </c>
      <c r="L24" s="51">
        <v>0.16651199999999999</v>
      </c>
      <c r="M24" s="50">
        <v>0.1701445</v>
      </c>
      <c r="N24" s="51">
        <v>0.16659060000000001</v>
      </c>
      <c r="O24" s="51">
        <v>0.1736405</v>
      </c>
      <c r="P24" s="51">
        <v>0.16340399999999999</v>
      </c>
      <c r="Q24" s="50">
        <v>0.16757369999999999</v>
      </c>
      <c r="R24" s="51">
        <v>0.16965440000000001</v>
      </c>
      <c r="S24" s="51">
        <v>0.1635267</v>
      </c>
      <c r="T24" s="50">
        <v>0.1759994</v>
      </c>
      <c r="U24" s="51">
        <v>0.16116449999999999</v>
      </c>
      <c r="V24" s="51">
        <v>0.16881650000000001</v>
      </c>
      <c r="W24" s="51">
        <v>0.17206740000000001</v>
      </c>
      <c r="X24" s="50">
        <v>0.15696499999999999</v>
      </c>
      <c r="Y24" s="51">
        <v>0.19645090000000001</v>
      </c>
      <c r="Z24" s="50">
        <v>0.1556505</v>
      </c>
      <c r="AA24" s="52">
        <v>0.18190539999999999</v>
      </c>
    </row>
    <row r="25" spans="1:27" s="93" customFormat="1" ht="21" customHeight="1" x14ac:dyDescent="0.35">
      <c r="A25" s="65"/>
      <c r="B25" s="228" t="s">
        <v>81</v>
      </c>
      <c r="C25" s="63">
        <v>952</v>
      </c>
      <c r="D25" s="70">
        <v>487</v>
      </c>
      <c r="E25" s="65">
        <v>455</v>
      </c>
      <c r="F25" s="71">
        <v>149</v>
      </c>
      <c r="G25" s="72">
        <v>232</v>
      </c>
      <c r="H25" s="73">
        <v>338</v>
      </c>
      <c r="I25" s="65">
        <v>233</v>
      </c>
      <c r="J25" s="71">
        <v>232</v>
      </c>
      <c r="K25" s="73">
        <v>332</v>
      </c>
      <c r="L25" s="65">
        <v>201</v>
      </c>
      <c r="M25" s="71">
        <v>163</v>
      </c>
      <c r="N25" s="72">
        <v>412</v>
      </c>
      <c r="O25" s="73">
        <v>80</v>
      </c>
      <c r="P25" s="65">
        <v>258</v>
      </c>
      <c r="Q25" s="71">
        <v>365</v>
      </c>
      <c r="R25" s="73">
        <v>300</v>
      </c>
      <c r="S25" s="65">
        <v>263</v>
      </c>
      <c r="T25" s="71">
        <v>216</v>
      </c>
      <c r="U25" s="72">
        <v>285</v>
      </c>
      <c r="V25" s="73">
        <v>97</v>
      </c>
      <c r="W25" s="65">
        <v>110</v>
      </c>
      <c r="X25" s="70">
        <v>598</v>
      </c>
      <c r="Y25" s="65">
        <v>298</v>
      </c>
      <c r="Z25" s="71">
        <v>435</v>
      </c>
      <c r="AA25" s="74">
        <v>401</v>
      </c>
    </row>
    <row r="26" spans="1:27" ht="24" customHeight="1" x14ac:dyDescent="0.35">
      <c r="B26" s="225"/>
      <c r="C26" s="49">
        <v>3.4870600000000002E-2</v>
      </c>
      <c r="D26" s="50">
        <v>3.7136599999999999E-2</v>
      </c>
      <c r="E26" s="51">
        <v>3.2339600000000003E-2</v>
      </c>
      <c r="F26" s="50">
        <v>4.2079400000000003E-2</v>
      </c>
      <c r="G26" s="51">
        <v>3.6964499999999997E-2</v>
      </c>
      <c r="H26" s="51">
        <v>4.9345E-2</v>
      </c>
      <c r="I26" s="51">
        <v>2.19361E-2</v>
      </c>
      <c r="J26" s="50">
        <v>3.8668300000000003E-2</v>
      </c>
      <c r="K26" s="51">
        <v>3.0784700000000002E-2</v>
      </c>
      <c r="L26" s="51">
        <v>2.5563200000000001E-2</v>
      </c>
      <c r="M26" s="50">
        <v>5.8895700000000002E-2</v>
      </c>
      <c r="N26" s="51">
        <v>3.2103699999999999E-2</v>
      </c>
      <c r="O26" s="51">
        <v>2.9269099999999999E-2</v>
      </c>
      <c r="P26" s="51">
        <v>3.0328399999999998E-2</v>
      </c>
      <c r="Q26" s="50">
        <v>3.3321099999999999E-2</v>
      </c>
      <c r="R26" s="51">
        <v>3.2032900000000003E-2</v>
      </c>
      <c r="S26" s="51">
        <v>3.8393900000000002E-2</v>
      </c>
      <c r="T26" s="50">
        <v>3.0847200000000002E-2</v>
      </c>
      <c r="U26" s="51">
        <v>2.8187500000000001E-2</v>
      </c>
      <c r="V26" s="51">
        <v>2.4733100000000001E-2</v>
      </c>
      <c r="W26" s="51">
        <v>4.0703999999999997E-2</v>
      </c>
      <c r="X26" s="50">
        <v>3.2222300000000002E-2</v>
      </c>
      <c r="Y26" s="51">
        <v>3.9752900000000001E-2</v>
      </c>
      <c r="Z26" s="50">
        <v>3.75891E-2</v>
      </c>
      <c r="AA26" s="52">
        <v>2.8820599999999998E-2</v>
      </c>
    </row>
    <row r="27" spans="1:27" s="94" customFormat="1" ht="20.25" customHeight="1" x14ac:dyDescent="0.35">
      <c r="A27" s="26"/>
      <c r="B27" s="232" t="s">
        <v>55</v>
      </c>
      <c r="C27" s="16">
        <v>2223</v>
      </c>
      <c r="D27" s="18">
        <v>700</v>
      </c>
      <c r="E27" s="17">
        <v>1504</v>
      </c>
      <c r="F27" s="19">
        <v>194</v>
      </c>
      <c r="G27" s="20">
        <v>461</v>
      </c>
      <c r="H27" s="21">
        <v>555</v>
      </c>
      <c r="I27" s="17">
        <v>1013</v>
      </c>
      <c r="J27" s="19">
        <v>477</v>
      </c>
      <c r="K27" s="21">
        <v>908</v>
      </c>
      <c r="L27" s="17">
        <v>365</v>
      </c>
      <c r="M27" s="19">
        <v>125</v>
      </c>
      <c r="N27" s="20">
        <v>804</v>
      </c>
      <c r="O27" s="21">
        <v>239</v>
      </c>
      <c r="P27" s="17">
        <v>941</v>
      </c>
      <c r="Q27" s="19">
        <v>801</v>
      </c>
      <c r="R27" s="21">
        <v>728</v>
      </c>
      <c r="S27" s="17">
        <v>642</v>
      </c>
      <c r="T27" s="19">
        <v>686</v>
      </c>
      <c r="U27" s="20">
        <v>770</v>
      </c>
      <c r="V27" s="21">
        <v>239</v>
      </c>
      <c r="W27" s="17">
        <v>166</v>
      </c>
      <c r="X27" s="18">
        <v>1312</v>
      </c>
      <c r="Y27" s="17">
        <v>481</v>
      </c>
      <c r="Z27" s="19">
        <v>781</v>
      </c>
      <c r="AA27" s="32">
        <v>912</v>
      </c>
    </row>
    <row r="28" spans="1:27" ht="24" customHeight="1" thickBot="1" x14ac:dyDescent="0.4">
      <c r="B28" s="234"/>
      <c r="C28" s="22">
        <v>8.1448800000000002E-2</v>
      </c>
      <c r="D28" s="23">
        <v>5.3396100000000002E-2</v>
      </c>
      <c r="E28" s="24">
        <v>0.10703749999999999</v>
      </c>
      <c r="F28" s="23">
        <v>5.4988099999999998E-2</v>
      </c>
      <c r="G28" s="24">
        <v>7.3489299999999994E-2</v>
      </c>
      <c r="H28" s="24">
        <v>8.1122700000000006E-2</v>
      </c>
      <c r="I28" s="24">
        <v>9.5137399999999997E-2</v>
      </c>
      <c r="J28" s="23">
        <v>7.9730300000000004E-2</v>
      </c>
      <c r="K28" s="24">
        <v>8.4107100000000004E-2</v>
      </c>
      <c r="L28" s="24">
        <v>4.6524000000000003E-2</v>
      </c>
      <c r="M28" s="23">
        <v>4.5236600000000002E-2</v>
      </c>
      <c r="N28" s="24">
        <v>6.2574000000000005E-2</v>
      </c>
      <c r="O28" s="24">
        <v>8.78501E-2</v>
      </c>
      <c r="P28" s="24">
        <v>0.11051560000000001</v>
      </c>
      <c r="Q28" s="23">
        <v>7.3180800000000004E-2</v>
      </c>
      <c r="R28" s="24">
        <v>7.7757000000000007E-2</v>
      </c>
      <c r="S28" s="24">
        <v>9.3678499999999998E-2</v>
      </c>
      <c r="T28" s="23">
        <v>9.7792000000000004E-2</v>
      </c>
      <c r="U28" s="24">
        <v>7.6261800000000005E-2</v>
      </c>
      <c r="V28" s="24">
        <v>6.0900700000000002E-2</v>
      </c>
      <c r="W28" s="24">
        <v>6.1133100000000003E-2</v>
      </c>
      <c r="X28" s="23">
        <v>7.0667900000000006E-2</v>
      </c>
      <c r="Y28" s="24">
        <v>6.4120300000000005E-2</v>
      </c>
      <c r="Z28" s="23">
        <v>6.7522899999999997E-2</v>
      </c>
      <c r="AA28" s="33">
        <v>6.5629999999999994E-2</v>
      </c>
    </row>
    <row r="29" spans="1:27" x14ac:dyDescent="0.35">
      <c r="B29" s="1"/>
    </row>
    <row r="30" spans="1:27" ht="24.75" customHeight="1" x14ac:dyDescent="0.35"/>
    <row r="31" spans="1:27" x14ac:dyDescent="0.35"/>
    <row r="32" spans="1:27" ht="24" customHeight="1" x14ac:dyDescent="0.35"/>
    <row r="33" x14ac:dyDescent="0.35"/>
    <row r="34" ht="24" customHeight="1" x14ac:dyDescent="0.35"/>
    <row r="35" x14ac:dyDescent="0.35"/>
    <row r="36" ht="24" customHeight="1" x14ac:dyDescent="0.35"/>
    <row r="37" x14ac:dyDescent="0.35"/>
    <row r="38" ht="24" customHeight="1" x14ac:dyDescent="0.35"/>
    <row r="39" x14ac:dyDescent="0.35"/>
    <row r="40" ht="24" customHeight="1" x14ac:dyDescent="0.35"/>
    <row r="41" x14ac:dyDescent="0.35"/>
    <row r="42" ht="24" customHeight="1" x14ac:dyDescent="0.35"/>
    <row r="43" x14ac:dyDescent="0.35"/>
    <row r="44" ht="24" customHeight="1" x14ac:dyDescent="0.35"/>
  </sheetData>
  <mergeCells count="16">
    <mergeCell ref="B25:B26"/>
    <mergeCell ref="B27:B28"/>
    <mergeCell ref="B15:B16"/>
    <mergeCell ref="B17:B18"/>
    <mergeCell ref="B19:B20"/>
    <mergeCell ref="B21:B22"/>
    <mergeCell ref="B23:B24"/>
    <mergeCell ref="T9:W9"/>
    <mergeCell ref="X9:Y9"/>
    <mergeCell ref="Z9:AA9"/>
    <mergeCell ref="B13:B14"/>
    <mergeCell ref="D9:E9"/>
    <mergeCell ref="F9:I9"/>
    <mergeCell ref="J9:L9"/>
    <mergeCell ref="M9:P9"/>
    <mergeCell ref="Q9:S9"/>
  </mergeCells>
  <hyperlinks>
    <hyperlink ref="B1" location="'Table of Contents'!A1" display="Home" xr:uid="{BF4D0E78-459E-E742-A29E-F2F63BC3F407}"/>
  </hyperlinks>
  <pageMargins left="0.7" right="0.7" top="0.75" bottom="0.75" header="0.511811023622047" footer="0.511811023622047"/>
  <pageSetup paperSize="9" orientation="portrait" useFirstPageNumber="1"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12"/>
  <dimension ref="A1:AA30"/>
  <sheetViews>
    <sheetView showGridLines="0" zoomScale="60" zoomScaleNormal="60" workbookViewId="0"/>
  </sheetViews>
  <sheetFormatPr defaultColWidth="20.6328125" defaultRowHeight="19" customHeight="1" x14ac:dyDescent="0.4"/>
  <cols>
    <col min="1" max="1" width="8.81640625" style="101" customWidth="1"/>
    <col min="2" max="2" width="100.6328125" style="3" customWidth="1"/>
    <col min="3" max="3" width="20.6328125" style="2"/>
    <col min="4" max="23" width="20.6328125" style="1"/>
    <col min="24" max="27" width="20.6328125" style="101"/>
    <col min="28" max="16384" width="20.6328125" style="102"/>
  </cols>
  <sheetData>
    <row r="1" spans="1:27" x14ac:dyDescent="0.4">
      <c r="B1" s="37" t="s">
        <v>0</v>
      </c>
    </row>
    <row r="2" spans="1:27" x14ac:dyDescent="0.4">
      <c r="B2" s="3" t="s">
        <v>442</v>
      </c>
    </row>
    <row r="3" spans="1:27" x14ac:dyDescent="0.4">
      <c r="B3" s="3" t="s">
        <v>1</v>
      </c>
      <c r="D3" s="2"/>
      <c r="E3" s="2"/>
      <c r="F3" s="2"/>
      <c r="G3" s="2"/>
      <c r="H3" s="2"/>
      <c r="I3" s="2"/>
      <c r="J3" s="2"/>
      <c r="K3" s="2"/>
      <c r="L3" s="2"/>
      <c r="M3" s="2"/>
      <c r="N3" s="2"/>
      <c r="O3" s="2"/>
      <c r="P3" s="2"/>
      <c r="Q3" s="2"/>
      <c r="R3" s="2"/>
      <c r="S3" s="2"/>
      <c r="T3" s="2"/>
      <c r="U3" s="2"/>
      <c r="V3" s="2"/>
      <c r="W3" s="2"/>
    </row>
    <row r="4" spans="1:27" x14ac:dyDescent="0.4">
      <c r="B4" s="3" t="s">
        <v>2</v>
      </c>
    </row>
    <row r="6" spans="1:27" s="217" customFormat="1" ht="19" customHeight="1" x14ac:dyDescent="0.5">
      <c r="A6" s="216"/>
      <c r="B6" s="28" t="s">
        <v>85</v>
      </c>
      <c r="C6" s="2"/>
      <c r="D6" s="2"/>
      <c r="E6" s="2"/>
      <c r="F6" s="2"/>
      <c r="G6" s="2"/>
      <c r="H6" s="2"/>
      <c r="I6" s="2"/>
      <c r="J6" s="2"/>
      <c r="K6" s="2"/>
      <c r="L6" s="2"/>
      <c r="M6" s="2"/>
      <c r="N6" s="2"/>
      <c r="O6" s="2"/>
      <c r="P6" s="2"/>
      <c r="Q6" s="2"/>
      <c r="R6" s="2"/>
      <c r="S6" s="2"/>
      <c r="T6" s="2"/>
      <c r="U6" s="2"/>
      <c r="V6" s="2"/>
      <c r="W6" s="2"/>
      <c r="X6" s="216"/>
      <c r="Y6" s="216"/>
      <c r="Z6" s="216"/>
      <c r="AA6" s="216"/>
    </row>
    <row r="7" spans="1:27" ht="19.5" customHeight="1" x14ac:dyDescent="0.4">
      <c r="B7" s="215" t="s">
        <v>415</v>
      </c>
    </row>
    <row r="8" spans="1:27" ht="19" customHeight="1" thickBot="1" x14ac:dyDescent="0.45"/>
    <row r="9" spans="1:27" ht="19.5" customHeight="1" x14ac:dyDescent="0.4">
      <c r="B9" s="5"/>
      <c r="C9" s="6" t="s">
        <v>21</v>
      </c>
      <c r="D9" s="221" t="s">
        <v>22</v>
      </c>
      <c r="E9" s="222"/>
      <c r="F9" s="221" t="s">
        <v>23</v>
      </c>
      <c r="G9" s="222"/>
      <c r="H9" s="222"/>
      <c r="I9" s="222"/>
      <c r="J9" s="221" t="s">
        <v>24</v>
      </c>
      <c r="K9" s="222"/>
      <c r="L9" s="222"/>
      <c r="M9" s="221" t="s">
        <v>25</v>
      </c>
      <c r="N9" s="222"/>
      <c r="O9" s="222"/>
      <c r="P9" s="222"/>
      <c r="Q9" s="221" t="s">
        <v>26</v>
      </c>
      <c r="R9" s="222"/>
      <c r="S9" s="222"/>
      <c r="T9" s="221" t="s">
        <v>27</v>
      </c>
      <c r="U9" s="222"/>
      <c r="V9" s="222"/>
      <c r="W9" s="222"/>
      <c r="X9" s="221" t="s">
        <v>28</v>
      </c>
      <c r="Y9" s="222"/>
      <c r="Z9" s="221" t="s">
        <v>29</v>
      </c>
      <c r="AA9" s="223"/>
    </row>
    <row r="10" spans="1:27" s="89" customFormat="1" ht="57" customHeight="1" thickBot="1" x14ac:dyDescent="0.45">
      <c r="A10" s="2"/>
      <c r="B10" s="91"/>
      <c r="C10" s="7" t="e" vm="1">
        <v>#VALUE!</v>
      </c>
      <c r="D10" s="8" t="s">
        <v>30</v>
      </c>
      <c r="E10" s="9" t="s">
        <v>31</v>
      </c>
      <c r="F10" s="10" t="s">
        <v>32</v>
      </c>
      <c r="G10" s="11" t="s">
        <v>33</v>
      </c>
      <c r="H10" s="12" t="s">
        <v>34</v>
      </c>
      <c r="I10" s="9" t="s">
        <v>35</v>
      </c>
      <c r="J10" s="10" t="s">
        <v>36</v>
      </c>
      <c r="K10" s="12" t="s">
        <v>37</v>
      </c>
      <c r="L10" s="9" t="s">
        <v>38</v>
      </c>
      <c r="M10" s="10" t="s">
        <v>39</v>
      </c>
      <c r="N10" s="11" t="s">
        <v>40</v>
      </c>
      <c r="O10" s="12" t="s">
        <v>41</v>
      </c>
      <c r="P10" s="9" t="s">
        <v>42</v>
      </c>
      <c r="Q10" s="10" t="s">
        <v>43</v>
      </c>
      <c r="R10" s="12" t="s">
        <v>44</v>
      </c>
      <c r="S10" s="9" t="s">
        <v>45</v>
      </c>
      <c r="T10" s="34">
        <v>1</v>
      </c>
      <c r="U10" s="35">
        <v>2</v>
      </c>
      <c r="V10" s="36">
        <v>3</v>
      </c>
      <c r="W10" s="9" t="s">
        <v>46</v>
      </c>
      <c r="X10" s="13" t="s">
        <v>409</v>
      </c>
      <c r="Y10" s="9" t="s">
        <v>410</v>
      </c>
      <c r="Z10" s="10" t="s">
        <v>409</v>
      </c>
      <c r="AA10" s="31" t="s">
        <v>410</v>
      </c>
    </row>
    <row r="11" spans="1:27" s="94" customFormat="1" ht="18.75" customHeight="1" x14ac:dyDescent="0.35">
      <c r="A11" s="26"/>
      <c r="B11" s="14" t="s">
        <v>49</v>
      </c>
      <c r="C11" s="26">
        <v>27292</v>
      </c>
      <c r="D11" s="39">
        <v>13488</v>
      </c>
      <c r="E11" s="26">
        <v>13685</v>
      </c>
      <c r="F11" s="40">
        <v>3682</v>
      </c>
      <c r="G11" s="41">
        <v>7667</v>
      </c>
      <c r="H11" s="42">
        <v>7751</v>
      </c>
      <c r="I11" s="26">
        <v>8192</v>
      </c>
      <c r="J11" s="40">
        <v>2780</v>
      </c>
      <c r="K11" s="42">
        <v>9601</v>
      </c>
      <c r="L11" s="26">
        <v>12258</v>
      </c>
      <c r="M11" s="40">
        <v>2997</v>
      </c>
      <c r="N11" s="41">
        <v>14034</v>
      </c>
      <c r="O11" s="42">
        <v>2839</v>
      </c>
      <c r="P11" s="26">
        <v>6900</v>
      </c>
      <c r="Q11" s="40">
        <v>10494</v>
      </c>
      <c r="R11" s="42">
        <v>10245</v>
      </c>
      <c r="S11" s="26">
        <v>6421</v>
      </c>
      <c r="T11" s="40">
        <v>6218</v>
      </c>
      <c r="U11" s="41">
        <v>10287</v>
      </c>
      <c r="V11" s="42">
        <v>4457</v>
      </c>
      <c r="W11" s="26">
        <v>3439</v>
      </c>
      <c r="X11" s="39">
        <v>17539</v>
      </c>
      <c r="Y11" s="26">
        <v>8634</v>
      </c>
      <c r="Z11" s="40">
        <v>11191</v>
      </c>
      <c r="AA11" s="43">
        <v>14524</v>
      </c>
    </row>
    <row r="12" spans="1:27" s="94" customFormat="1" ht="18.75" customHeight="1" thickBot="1" x14ac:dyDescent="0.4">
      <c r="A12" s="26"/>
      <c r="B12" s="15" t="s">
        <v>50</v>
      </c>
      <c r="C12" s="44">
        <v>27292</v>
      </c>
      <c r="D12" s="45">
        <v>13117</v>
      </c>
      <c r="E12" s="46">
        <v>14056</v>
      </c>
      <c r="F12" s="45">
        <v>3535</v>
      </c>
      <c r="G12" s="47">
        <v>6272</v>
      </c>
      <c r="H12" s="47">
        <v>6843</v>
      </c>
      <c r="I12" s="46">
        <v>10643</v>
      </c>
      <c r="J12" s="45">
        <v>5987</v>
      </c>
      <c r="K12" s="47">
        <v>10797</v>
      </c>
      <c r="L12" s="46">
        <v>7855</v>
      </c>
      <c r="M12" s="45">
        <v>2765</v>
      </c>
      <c r="N12" s="47">
        <v>12846</v>
      </c>
      <c r="O12" s="47">
        <v>2724</v>
      </c>
      <c r="P12" s="46">
        <v>8517</v>
      </c>
      <c r="Q12" s="45">
        <v>10940</v>
      </c>
      <c r="R12" s="47">
        <v>9369</v>
      </c>
      <c r="S12" s="46">
        <v>6851</v>
      </c>
      <c r="T12" s="45">
        <v>7012</v>
      </c>
      <c r="U12" s="47">
        <v>10099</v>
      </c>
      <c r="V12" s="47">
        <v>3919</v>
      </c>
      <c r="W12" s="46">
        <v>2709</v>
      </c>
      <c r="X12" s="45">
        <v>18568</v>
      </c>
      <c r="Y12" s="46">
        <v>7508</v>
      </c>
      <c r="Z12" s="45">
        <v>11570</v>
      </c>
      <c r="AA12" s="48">
        <v>13901</v>
      </c>
    </row>
    <row r="13" spans="1:27" s="93" customFormat="1" ht="21" customHeight="1" x14ac:dyDescent="0.35">
      <c r="A13" s="65"/>
      <c r="B13" s="224" t="s">
        <v>32</v>
      </c>
      <c r="C13" s="63">
        <v>3535</v>
      </c>
      <c r="D13" s="64">
        <v>1809</v>
      </c>
      <c r="E13" s="65">
        <v>1693</v>
      </c>
      <c r="F13" s="66">
        <v>3535</v>
      </c>
      <c r="G13" s="67">
        <v>0</v>
      </c>
      <c r="H13" s="68">
        <v>0</v>
      </c>
      <c r="I13" s="65">
        <v>0</v>
      </c>
      <c r="J13" s="66">
        <v>695</v>
      </c>
      <c r="K13" s="68">
        <v>1522</v>
      </c>
      <c r="L13" s="65">
        <v>976</v>
      </c>
      <c r="M13" s="66">
        <v>541</v>
      </c>
      <c r="N13" s="67">
        <v>1388</v>
      </c>
      <c r="O13" s="68">
        <v>389</v>
      </c>
      <c r="P13" s="65">
        <v>1094</v>
      </c>
      <c r="Q13" s="66">
        <v>1343</v>
      </c>
      <c r="R13" s="68">
        <v>1260</v>
      </c>
      <c r="S13" s="65">
        <v>878</v>
      </c>
      <c r="T13" s="66">
        <v>677</v>
      </c>
      <c r="U13" s="67">
        <v>631</v>
      </c>
      <c r="V13" s="68">
        <v>516</v>
      </c>
      <c r="W13" s="65">
        <v>659</v>
      </c>
      <c r="X13" s="64">
        <v>2526</v>
      </c>
      <c r="Y13" s="65">
        <v>855</v>
      </c>
      <c r="Z13" s="66">
        <v>1571</v>
      </c>
      <c r="AA13" s="69">
        <v>1729</v>
      </c>
    </row>
    <row r="14" spans="1:27" s="87" customFormat="1" ht="24" customHeight="1" x14ac:dyDescent="0.35">
      <c r="A14" s="1"/>
      <c r="B14" s="225"/>
      <c r="C14" s="49">
        <v>0.13</v>
      </c>
      <c r="D14" s="50">
        <v>0.14000000000000001</v>
      </c>
      <c r="E14" s="51">
        <v>0.12</v>
      </c>
      <c r="F14" s="50">
        <v>1</v>
      </c>
      <c r="G14" s="51">
        <v>0</v>
      </c>
      <c r="H14" s="51">
        <v>0</v>
      </c>
      <c r="I14" s="51">
        <v>0</v>
      </c>
      <c r="J14" s="50">
        <v>0.12</v>
      </c>
      <c r="K14" s="51">
        <v>0.14000000000000001</v>
      </c>
      <c r="L14" s="51">
        <v>0.12</v>
      </c>
      <c r="M14" s="50">
        <v>0.2</v>
      </c>
      <c r="N14" s="51">
        <v>0.11</v>
      </c>
      <c r="O14" s="51">
        <v>0.14000000000000001</v>
      </c>
      <c r="P14" s="51">
        <v>0.13</v>
      </c>
      <c r="Q14" s="50">
        <v>0.12</v>
      </c>
      <c r="R14" s="51">
        <v>0.13</v>
      </c>
      <c r="S14" s="51">
        <v>0.13</v>
      </c>
      <c r="T14" s="50">
        <v>0.1</v>
      </c>
      <c r="U14" s="51">
        <v>0.06</v>
      </c>
      <c r="V14" s="51">
        <v>0.13</v>
      </c>
      <c r="W14" s="51">
        <v>0.24</v>
      </c>
      <c r="X14" s="50">
        <v>0.14000000000000001</v>
      </c>
      <c r="Y14" s="51">
        <v>0.11</v>
      </c>
      <c r="Z14" s="50">
        <v>0.14000000000000001</v>
      </c>
      <c r="AA14" s="52">
        <v>0.12</v>
      </c>
    </row>
    <row r="15" spans="1:27" s="93" customFormat="1" ht="21" customHeight="1" x14ac:dyDescent="0.35">
      <c r="A15" s="65"/>
      <c r="B15" s="228" t="s">
        <v>33</v>
      </c>
      <c r="C15" s="63">
        <v>6272</v>
      </c>
      <c r="D15" s="70">
        <v>3129</v>
      </c>
      <c r="E15" s="65">
        <v>3094</v>
      </c>
      <c r="F15" s="71">
        <v>0</v>
      </c>
      <c r="G15" s="72">
        <v>6272</v>
      </c>
      <c r="H15" s="73">
        <v>0</v>
      </c>
      <c r="I15" s="65">
        <v>0</v>
      </c>
      <c r="J15" s="71">
        <v>1509</v>
      </c>
      <c r="K15" s="73">
        <v>1828</v>
      </c>
      <c r="L15" s="65">
        <v>2170</v>
      </c>
      <c r="M15" s="71">
        <v>773</v>
      </c>
      <c r="N15" s="72">
        <v>3898</v>
      </c>
      <c r="O15" s="73">
        <v>753</v>
      </c>
      <c r="P15" s="65">
        <v>754</v>
      </c>
      <c r="Q15" s="71">
        <v>2755</v>
      </c>
      <c r="R15" s="73">
        <v>2038</v>
      </c>
      <c r="S15" s="65">
        <v>1435</v>
      </c>
      <c r="T15" s="71">
        <v>1484</v>
      </c>
      <c r="U15" s="72">
        <v>2395</v>
      </c>
      <c r="V15" s="73">
        <v>782</v>
      </c>
      <c r="W15" s="65">
        <v>553</v>
      </c>
      <c r="X15" s="70">
        <v>4387</v>
      </c>
      <c r="Y15" s="65">
        <v>1613</v>
      </c>
      <c r="Z15" s="71">
        <v>2887</v>
      </c>
      <c r="AA15" s="74">
        <v>3009</v>
      </c>
    </row>
    <row r="16" spans="1:27" s="87" customFormat="1" ht="24" customHeight="1" x14ac:dyDescent="0.35">
      <c r="A16" s="1"/>
      <c r="B16" s="225"/>
      <c r="C16" s="49">
        <v>0.22999999999999998</v>
      </c>
      <c r="D16" s="50">
        <v>0.24</v>
      </c>
      <c r="E16" s="51">
        <v>0.22000000000000003</v>
      </c>
      <c r="F16" s="50">
        <v>0</v>
      </c>
      <c r="G16" s="51">
        <v>1</v>
      </c>
      <c r="H16" s="51">
        <v>0</v>
      </c>
      <c r="I16" s="51">
        <v>0</v>
      </c>
      <c r="J16" s="50">
        <v>0.25</v>
      </c>
      <c r="K16" s="51">
        <v>0.16999999999999998</v>
      </c>
      <c r="L16" s="51">
        <v>0.28000000000000003</v>
      </c>
      <c r="M16" s="50">
        <v>0.27999999999999997</v>
      </c>
      <c r="N16" s="51">
        <v>0.3</v>
      </c>
      <c r="O16" s="51">
        <v>0.27999999999999997</v>
      </c>
      <c r="P16" s="51">
        <v>0.09</v>
      </c>
      <c r="Q16" s="50">
        <v>0.25</v>
      </c>
      <c r="R16" s="51">
        <v>0.21999999999999997</v>
      </c>
      <c r="S16" s="51">
        <v>0.21000000000000002</v>
      </c>
      <c r="T16" s="50">
        <v>0.21</v>
      </c>
      <c r="U16" s="51">
        <v>0.24</v>
      </c>
      <c r="V16" s="51">
        <v>0.2</v>
      </c>
      <c r="W16" s="51">
        <v>0.21000000000000002</v>
      </c>
      <c r="X16" s="50">
        <v>0.22999999999999998</v>
      </c>
      <c r="Y16" s="51">
        <v>0.22000000000000003</v>
      </c>
      <c r="Z16" s="50">
        <v>0.25</v>
      </c>
      <c r="AA16" s="52">
        <v>0.22000000000000003</v>
      </c>
    </row>
    <row r="17" spans="1:27" s="93" customFormat="1" ht="21" customHeight="1" x14ac:dyDescent="0.35">
      <c r="A17" s="65"/>
      <c r="B17" s="228" t="s">
        <v>34</v>
      </c>
      <c r="C17" s="63">
        <v>6843</v>
      </c>
      <c r="D17" s="70">
        <v>3358</v>
      </c>
      <c r="E17" s="65">
        <v>3458</v>
      </c>
      <c r="F17" s="71">
        <v>0</v>
      </c>
      <c r="G17" s="72">
        <v>0</v>
      </c>
      <c r="H17" s="73">
        <v>6843</v>
      </c>
      <c r="I17" s="65">
        <v>0</v>
      </c>
      <c r="J17" s="71">
        <v>1188</v>
      </c>
      <c r="K17" s="73">
        <v>2626</v>
      </c>
      <c r="L17" s="65">
        <v>2192</v>
      </c>
      <c r="M17" s="71">
        <v>691</v>
      </c>
      <c r="N17" s="72">
        <v>4276</v>
      </c>
      <c r="O17" s="73">
        <v>874</v>
      </c>
      <c r="P17" s="65">
        <v>936</v>
      </c>
      <c r="Q17" s="71">
        <v>2761</v>
      </c>
      <c r="R17" s="73">
        <v>2292</v>
      </c>
      <c r="S17" s="65">
        <v>1764</v>
      </c>
      <c r="T17" s="71">
        <v>1568</v>
      </c>
      <c r="U17" s="72">
        <v>2573</v>
      </c>
      <c r="V17" s="73">
        <v>1276</v>
      </c>
      <c r="W17" s="65">
        <v>736</v>
      </c>
      <c r="X17" s="70">
        <v>4585</v>
      </c>
      <c r="Y17" s="65">
        <v>1934</v>
      </c>
      <c r="Z17" s="71">
        <v>2971</v>
      </c>
      <c r="AA17" s="74">
        <v>3399</v>
      </c>
    </row>
    <row r="18" spans="1:27" s="87" customFormat="1" ht="24" customHeight="1" x14ac:dyDescent="0.35">
      <c r="A18" s="1"/>
      <c r="B18" s="225"/>
      <c r="C18" s="49">
        <v>0.25</v>
      </c>
      <c r="D18" s="50">
        <v>0.25</v>
      </c>
      <c r="E18" s="51">
        <v>0.24999999999999994</v>
      </c>
      <c r="F18" s="50">
        <v>0</v>
      </c>
      <c r="G18" s="51">
        <v>0</v>
      </c>
      <c r="H18" s="51">
        <v>1</v>
      </c>
      <c r="I18" s="51">
        <v>0</v>
      </c>
      <c r="J18" s="50">
        <v>0.19999999999999996</v>
      </c>
      <c r="K18" s="51">
        <v>0.24000000000000005</v>
      </c>
      <c r="L18" s="51">
        <v>0.28000000000000003</v>
      </c>
      <c r="M18" s="50">
        <v>0.24</v>
      </c>
      <c r="N18" s="51">
        <v>0.33</v>
      </c>
      <c r="O18" s="51">
        <v>0.32</v>
      </c>
      <c r="P18" s="51">
        <v>0.11000000000000001</v>
      </c>
      <c r="Q18" s="50">
        <v>0.26</v>
      </c>
      <c r="R18" s="51">
        <v>0.25</v>
      </c>
      <c r="S18" s="51">
        <v>0.25999999999999995</v>
      </c>
      <c r="T18" s="50">
        <v>0.22000000000000003</v>
      </c>
      <c r="U18" s="51">
        <v>0.25000000000000006</v>
      </c>
      <c r="V18" s="51">
        <v>0.33</v>
      </c>
      <c r="W18" s="51">
        <v>0.26999999999999996</v>
      </c>
      <c r="X18" s="50">
        <v>0.25</v>
      </c>
      <c r="Y18" s="51">
        <v>0.25999999999999995</v>
      </c>
      <c r="Z18" s="50">
        <v>0.25</v>
      </c>
      <c r="AA18" s="52">
        <v>0.24999999999999994</v>
      </c>
    </row>
    <row r="19" spans="1:27" s="93" customFormat="1" ht="21" customHeight="1" x14ac:dyDescent="0.35">
      <c r="A19" s="65"/>
      <c r="B19" s="232" t="s">
        <v>35</v>
      </c>
      <c r="C19" s="63">
        <v>10643</v>
      </c>
      <c r="D19" s="70">
        <v>4821</v>
      </c>
      <c r="E19" s="65">
        <v>5810</v>
      </c>
      <c r="F19" s="71">
        <v>0</v>
      </c>
      <c r="G19" s="72">
        <v>0</v>
      </c>
      <c r="H19" s="73">
        <v>0</v>
      </c>
      <c r="I19" s="65">
        <v>10643</v>
      </c>
      <c r="J19" s="71">
        <v>2594</v>
      </c>
      <c r="K19" s="73">
        <v>4821</v>
      </c>
      <c r="L19" s="65">
        <v>2517</v>
      </c>
      <c r="M19" s="71">
        <v>761</v>
      </c>
      <c r="N19" s="72">
        <v>3284</v>
      </c>
      <c r="O19" s="73">
        <v>708</v>
      </c>
      <c r="P19" s="65">
        <v>5733</v>
      </c>
      <c r="Q19" s="71">
        <v>4080</v>
      </c>
      <c r="R19" s="73">
        <v>3778</v>
      </c>
      <c r="S19" s="65">
        <v>2775</v>
      </c>
      <c r="T19" s="71">
        <v>3283</v>
      </c>
      <c r="U19" s="72">
        <v>4499</v>
      </c>
      <c r="V19" s="73">
        <v>1346</v>
      </c>
      <c r="W19" s="65">
        <v>761</v>
      </c>
      <c r="X19" s="70">
        <v>7070</v>
      </c>
      <c r="Y19" s="65">
        <v>3107</v>
      </c>
      <c r="Z19" s="71">
        <v>4142</v>
      </c>
      <c r="AA19" s="74">
        <v>5764</v>
      </c>
    </row>
    <row r="20" spans="1:27" s="87" customFormat="1" ht="24" customHeight="1" thickBot="1" x14ac:dyDescent="0.4">
      <c r="A20" s="1"/>
      <c r="B20" s="233"/>
      <c r="C20" s="59">
        <v>0.39</v>
      </c>
      <c r="D20" s="60">
        <v>0.37</v>
      </c>
      <c r="E20" s="61">
        <v>0.41000000000000003</v>
      </c>
      <c r="F20" s="60">
        <v>0</v>
      </c>
      <c r="G20" s="61">
        <v>0</v>
      </c>
      <c r="H20" s="61">
        <v>0</v>
      </c>
      <c r="I20" s="61">
        <v>1</v>
      </c>
      <c r="J20" s="60">
        <v>0.43000000000000005</v>
      </c>
      <c r="K20" s="61">
        <v>0.44999999999999996</v>
      </c>
      <c r="L20" s="61">
        <v>0.31999999999999995</v>
      </c>
      <c r="M20" s="60">
        <v>0.28000000000000003</v>
      </c>
      <c r="N20" s="61">
        <v>0.26</v>
      </c>
      <c r="O20" s="61">
        <v>0.26</v>
      </c>
      <c r="P20" s="61">
        <v>0.66999999999999993</v>
      </c>
      <c r="Q20" s="60">
        <v>0.37</v>
      </c>
      <c r="R20" s="61">
        <v>0.4</v>
      </c>
      <c r="S20" s="61">
        <v>0.4</v>
      </c>
      <c r="T20" s="60">
        <v>0.47</v>
      </c>
      <c r="U20" s="61">
        <v>0.44999999999999996</v>
      </c>
      <c r="V20" s="61">
        <v>0.33999999999999997</v>
      </c>
      <c r="W20" s="61">
        <v>0.28000000000000003</v>
      </c>
      <c r="X20" s="60">
        <v>0.38</v>
      </c>
      <c r="Y20" s="61">
        <v>0.41000000000000003</v>
      </c>
      <c r="Z20" s="60">
        <v>0.36</v>
      </c>
      <c r="AA20" s="62">
        <v>0.41000000000000003</v>
      </c>
    </row>
    <row r="21" spans="1:27" s="93" customFormat="1" ht="21" customHeight="1" x14ac:dyDescent="0.35">
      <c r="A21" s="65"/>
      <c r="B21" s="3"/>
      <c r="C21" s="63"/>
      <c r="D21" s="65"/>
      <c r="E21" s="65"/>
      <c r="F21" s="65"/>
      <c r="G21" s="65"/>
      <c r="H21" s="65"/>
      <c r="I21" s="65"/>
      <c r="J21" s="65"/>
      <c r="K21" s="65"/>
      <c r="L21" s="65"/>
      <c r="M21" s="65"/>
      <c r="N21" s="65"/>
      <c r="O21" s="65"/>
      <c r="P21" s="65"/>
      <c r="Q21" s="65"/>
      <c r="R21" s="65"/>
      <c r="S21" s="65"/>
      <c r="T21" s="65"/>
      <c r="U21" s="65"/>
      <c r="V21" s="65"/>
      <c r="W21" s="65"/>
      <c r="X21" s="65"/>
      <c r="Y21" s="65"/>
      <c r="Z21" s="65"/>
      <c r="AA21" s="65"/>
    </row>
    <row r="22" spans="1:27" s="87" customFormat="1" ht="24" customHeight="1" x14ac:dyDescent="0.35">
      <c r="A22" s="1"/>
      <c r="B22" s="3"/>
      <c r="C22" s="2"/>
      <c r="D22" s="1"/>
      <c r="E22" s="1"/>
      <c r="F22" s="1"/>
      <c r="G22" s="1"/>
      <c r="H22" s="1"/>
      <c r="I22" s="1"/>
      <c r="J22" s="1"/>
      <c r="K22" s="1"/>
      <c r="L22" s="1"/>
      <c r="M22" s="1"/>
      <c r="N22" s="1"/>
      <c r="O22" s="1"/>
      <c r="P22" s="1"/>
      <c r="Q22" s="1"/>
      <c r="R22" s="1"/>
      <c r="S22" s="1"/>
      <c r="T22" s="1"/>
      <c r="U22" s="1"/>
      <c r="V22" s="1"/>
      <c r="W22" s="1"/>
      <c r="X22" s="1"/>
      <c r="Y22" s="1"/>
      <c r="Z22" s="1"/>
      <c r="AA22" s="1"/>
    </row>
    <row r="23" spans="1:27" s="93" customFormat="1" ht="21" customHeight="1" x14ac:dyDescent="0.35">
      <c r="A23" s="65"/>
      <c r="B23" s="3"/>
      <c r="C23" s="63"/>
      <c r="D23" s="65"/>
      <c r="E23" s="65"/>
      <c r="F23" s="65"/>
      <c r="G23" s="65"/>
      <c r="H23" s="65"/>
      <c r="I23" s="65"/>
      <c r="J23" s="65"/>
      <c r="K23" s="65"/>
      <c r="L23" s="65"/>
      <c r="M23" s="65"/>
      <c r="N23" s="65"/>
      <c r="O23" s="65"/>
      <c r="P23" s="65"/>
      <c r="Q23" s="65"/>
      <c r="R23" s="65"/>
      <c r="S23" s="65"/>
      <c r="T23" s="65"/>
      <c r="U23" s="65"/>
      <c r="V23" s="65"/>
      <c r="W23" s="65"/>
      <c r="X23" s="65"/>
      <c r="Y23" s="65"/>
      <c r="Z23" s="65"/>
      <c r="AA23" s="65"/>
    </row>
    <row r="24" spans="1:27" s="87" customFormat="1" ht="24" customHeight="1" x14ac:dyDescent="0.35">
      <c r="A24" s="1"/>
      <c r="B24" s="3"/>
      <c r="C24" s="2"/>
      <c r="D24" s="1"/>
      <c r="E24" s="1"/>
      <c r="F24" s="1"/>
      <c r="G24" s="1"/>
      <c r="H24" s="1"/>
      <c r="I24" s="1"/>
      <c r="J24" s="1"/>
      <c r="K24" s="1"/>
      <c r="L24" s="1"/>
      <c r="M24" s="1"/>
      <c r="N24" s="1"/>
      <c r="O24" s="1"/>
      <c r="P24" s="1"/>
      <c r="Q24" s="1"/>
      <c r="R24" s="1"/>
      <c r="S24" s="1"/>
      <c r="T24" s="1"/>
      <c r="U24" s="1"/>
      <c r="V24" s="1"/>
      <c r="W24" s="1"/>
      <c r="X24" s="1"/>
      <c r="Y24" s="1"/>
      <c r="Z24" s="1"/>
      <c r="AA24" s="1"/>
    </row>
    <row r="25" spans="1:27" s="93" customFormat="1" ht="21" customHeight="1" x14ac:dyDescent="0.35">
      <c r="A25" s="65"/>
      <c r="B25" s="3"/>
      <c r="C25" s="63"/>
      <c r="D25" s="65"/>
      <c r="E25" s="65"/>
      <c r="F25" s="65"/>
      <c r="G25" s="65"/>
      <c r="H25" s="65"/>
      <c r="I25" s="65"/>
      <c r="J25" s="65"/>
      <c r="K25" s="65"/>
      <c r="L25" s="65"/>
      <c r="M25" s="65"/>
      <c r="N25" s="65"/>
      <c r="O25" s="65"/>
      <c r="P25" s="65"/>
      <c r="Q25" s="65"/>
      <c r="R25" s="65"/>
      <c r="S25" s="65"/>
      <c r="T25" s="65"/>
      <c r="U25" s="65"/>
      <c r="V25" s="65"/>
      <c r="W25" s="65"/>
      <c r="X25" s="65"/>
      <c r="Y25" s="65"/>
      <c r="Z25" s="65"/>
      <c r="AA25" s="65"/>
    </row>
    <row r="26" spans="1:27" s="87" customFormat="1" ht="24" customHeight="1" x14ac:dyDescent="0.35">
      <c r="A26" s="1"/>
      <c r="B26" s="3"/>
      <c r="C26" s="2"/>
      <c r="D26" s="1"/>
      <c r="E26" s="1"/>
      <c r="F26" s="1"/>
      <c r="G26" s="1"/>
      <c r="H26" s="1"/>
      <c r="I26" s="1"/>
      <c r="J26" s="1"/>
      <c r="K26" s="1"/>
      <c r="L26" s="1"/>
      <c r="M26" s="1"/>
      <c r="N26" s="1"/>
      <c r="O26" s="1"/>
      <c r="P26" s="1"/>
      <c r="Q26" s="1"/>
      <c r="R26" s="1"/>
      <c r="S26" s="1"/>
      <c r="T26" s="1"/>
      <c r="U26" s="1"/>
      <c r="V26" s="1"/>
      <c r="W26" s="1"/>
      <c r="X26" s="1"/>
      <c r="Y26" s="1"/>
      <c r="Z26" s="1"/>
      <c r="AA26" s="1"/>
    </row>
    <row r="27" spans="1:27" x14ac:dyDescent="0.4"/>
    <row r="28" spans="1:27" ht="24" customHeight="1" x14ac:dyDescent="0.4"/>
    <row r="29" spans="1:27" x14ac:dyDescent="0.4">
      <c r="B29" s="1"/>
    </row>
    <row r="30" spans="1:27" ht="24" customHeight="1" x14ac:dyDescent="0.4"/>
  </sheetData>
  <mergeCells count="12">
    <mergeCell ref="B15:B16"/>
    <mergeCell ref="B17:B18"/>
    <mergeCell ref="B19:B20"/>
    <mergeCell ref="T9:W9"/>
    <mergeCell ref="X9:Y9"/>
    <mergeCell ref="Z9:AA9"/>
    <mergeCell ref="B13:B14"/>
    <mergeCell ref="D9:E9"/>
    <mergeCell ref="F9:I9"/>
    <mergeCell ref="J9:L9"/>
    <mergeCell ref="M9:P9"/>
    <mergeCell ref="Q9:S9"/>
  </mergeCells>
  <hyperlinks>
    <hyperlink ref="B1" location="'Table of Contents'!A1" display="Home" xr:uid="{00CB1552-0C7D-B04E-BA94-25E40E9FEE1E}"/>
  </hyperlinks>
  <pageMargins left="0.7" right="0.7" top="0.75" bottom="0.75" header="0.511811023622047" footer="0.511811023622047"/>
  <pageSetup paperSize="9" orientation="portrait" useFirstPageNumber="1"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euil13"/>
  <dimension ref="A1:AA29"/>
  <sheetViews>
    <sheetView showGridLines="0" zoomScale="60" zoomScaleNormal="60" workbookViewId="0"/>
  </sheetViews>
  <sheetFormatPr defaultColWidth="20.6328125" defaultRowHeight="19" customHeight="1" x14ac:dyDescent="0.4"/>
  <cols>
    <col min="1" max="1" width="8.81640625" style="101" customWidth="1"/>
    <col min="2" max="2" width="100.6328125" style="3" customWidth="1"/>
    <col min="3" max="3" width="20.6328125" style="2"/>
    <col min="4" max="23" width="20.6328125" style="1"/>
    <col min="24" max="27" width="20.6328125" style="101"/>
    <col min="28" max="16384" width="20.6328125" style="102"/>
  </cols>
  <sheetData>
    <row r="1" spans="1:27" x14ac:dyDescent="0.4">
      <c r="B1" s="37" t="s">
        <v>0</v>
      </c>
    </row>
    <row r="2" spans="1:27" x14ac:dyDescent="0.4">
      <c r="B2" s="3" t="s">
        <v>442</v>
      </c>
    </row>
    <row r="3" spans="1:27" x14ac:dyDescent="0.4">
      <c r="B3" s="3" t="s">
        <v>1</v>
      </c>
      <c r="D3" s="2"/>
      <c r="E3" s="2"/>
      <c r="F3" s="2"/>
      <c r="G3" s="2"/>
      <c r="H3" s="2"/>
      <c r="I3" s="2"/>
      <c r="J3" s="2"/>
      <c r="K3" s="2"/>
      <c r="L3" s="2"/>
      <c r="M3" s="2"/>
      <c r="N3" s="2"/>
      <c r="O3" s="2"/>
      <c r="P3" s="2"/>
      <c r="Q3" s="2"/>
      <c r="R3" s="2"/>
      <c r="S3" s="2"/>
      <c r="T3" s="2"/>
      <c r="U3" s="2"/>
      <c r="V3" s="2"/>
      <c r="W3" s="2"/>
    </row>
    <row r="4" spans="1:27" x14ac:dyDescent="0.4">
      <c r="B4" s="3" t="s">
        <v>2</v>
      </c>
    </row>
    <row r="6" spans="1:27" s="217" customFormat="1" ht="19" customHeight="1" x14ac:dyDescent="0.5">
      <c r="A6" s="216"/>
      <c r="B6" s="28" t="s">
        <v>86</v>
      </c>
      <c r="C6" s="2"/>
      <c r="D6" s="2"/>
      <c r="E6" s="2"/>
      <c r="F6" s="2"/>
      <c r="G6" s="2"/>
      <c r="H6" s="2"/>
      <c r="I6" s="2"/>
      <c r="J6" s="2"/>
      <c r="K6" s="2"/>
      <c r="L6" s="2"/>
      <c r="M6" s="2"/>
      <c r="N6" s="2"/>
      <c r="O6" s="2"/>
      <c r="P6" s="2"/>
      <c r="Q6" s="2"/>
      <c r="R6" s="2"/>
      <c r="S6" s="2"/>
      <c r="T6" s="2"/>
      <c r="U6" s="2"/>
      <c r="V6" s="2"/>
      <c r="W6" s="2"/>
      <c r="X6" s="216"/>
      <c r="Y6" s="216"/>
      <c r="Z6" s="216"/>
      <c r="AA6" s="216"/>
    </row>
    <row r="7" spans="1:27" ht="19.5" customHeight="1" x14ac:dyDescent="0.4">
      <c r="B7" s="215" t="s">
        <v>415</v>
      </c>
    </row>
    <row r="8" spans="1:27" ht="19" customHeight="1" thickBot="1" x14ac:dyDescent="0.45"/>
    <row r="9" spans="1:27" ht="19.5" customHeight="1" x14ac:dyDescent="0.4">
      <c r="B9" s="5"/>
      <c r="C9" s="6" t="s">
        <v>21</v>
      </c>
      <c r="D9" s="221" t="s">
        <v>22</v>
      </c>
      <c r="E9" s="222"/>
      <c r="F9" s="221" t="s">
        <v>23</v>
      </c>
      <c r="G9" s="222"/>
      <c r="H9" s="222"/>
      <c r="I9" s="222"/>
      <c r="J9" s="221" t="s">
        <v>24</v>
      </c>
      <c r="K9" s="222"/>
      <c r="L9" s="222"/>
      <c r="M9" s="221" t="s">
        <v>25</v>
      </c>
      <c r="N9" s="222"/>
      <c r="O9" s="222"/>
      <c r="P9" s="222"/>
      <c r="Q9" s="221" t="s">
        <v>26</v>
      </c>
      <c r="R9" s="222"/>
      <c r="S9" s="222"/>
      <c r="T9" s="221" t="s">
        <v>27</v>
      </c>
      <c r="U9" s="222"/>
      <c r="V9" s="222"/>
      <c r="W9" s="222"/>
      <c r="X9" s="221" t="s">
        <v>28</v>
      </c>
      <c r="Y9" s="222"/>
      <c r="Z9" s="221" t="s">
        <v>29</v>
      </c>
      <c r="AA9" s="223"/>
    </row>
    <row r="10" spans="1:27" s="89" customFormat="1" ht="57" customHeight="1" thickBot="1" x14ac:dyDescent="0.45">
      <c r="A10" s="2"/>
      <c r="B10" s="91"/>
      <c r="C10" s="7" t="e" vm="1">
        <v>#VALUE!</v>
      </c>
      <c r="D10" s="8" t="s">
        <v>30</v>
      </c>
      <c r="E10" s="9" t="s">
        <v>31</v>
      </c>
      <c r="F10" s="10" t="s">
        <v>32</v>
      </c>
      <c r="G10" s="11" t="s">
        <v>33</v>
      </c>
      <c r="H10" s="12" t="s">
        <v>34</v>
      </c>
      <c r="I10" s="9" t="s">
        <v>35</v>
      </c>
      <c r="J10" s="10" t="s">
        <v>36</v>
      </c>
      <c r="K10" s="12" t="s">
        <v>37</v>
      </c>
      <c r="L10" s="9" t="s">
        <v>38</v>
      </c>
      <c r="M10" s="10" t="s">
        <v>39</v>
      </c>
      <c r="N10" s="11" t="s">
        <v>40</v>
      </c>
      <c r="O10" s="12" t="s">
        <v>41</v>
      </c>
      <c r="P10" s="9" t="s">
        <v>42</v>
      </c>
      <c r="Q10" s="10" t="s">
        <v>43</v>
      </c>
      <c r="R10" s="12" t="s">
        <v>44</v>
      </c>
      <c r="S10" s="9" t="s">
        <v>45</v>
      </c>
      <c r="T10" s="34">
        <v>1</v>
      </c>
      <c r="U10" s="35">
        <v>2</v>
      </c>
      <c r="V10" s="36">
        <v>3</v>
      </c>
      <c r="W10" s="9" t="s">
        <v>46</v>
      </c>
      <c r="X10" s="13" t="s">
        <v>409</v>
      </c>
      <c r="Y10" s="9" t="s">
        <v>410</v>
      </c>
      <c r="Z10" s="10" t="s">
        <v>409</v>
      </c>
      <c r="AA10" s="31" t="s">
        <v>410</v>
      </c>
    </row>
    <row r="11" spans="1:27" s="94" customFormat="1" ht="18.75" customHeight="1" x14ac:dyDescent="0.35">
      <c r="A11" s="26"/>
      <c r="B11" s="14" t="s">
        <v>49</v>
      </c>
      <c r="C11" s="26">
        <v>27292</v>
      </c>
      <c r="D11" s="39">
        <v>13488</v>
      </c>
      <c r="E11" s="26">
        <v>13685</v>
      </c>
      <c r="F11" s="40">
        <v>3682</v>
      </c>
      <c r="G11" s="41">
        <v>7667</v>
      </c>
      <c r="H11" s="42">
        <v>7751</v>
      </c>
      <c r="I11" s="26">
        <v>8192</v>
      </c>
      <c r="J11" s="40">
        <v>2780</v>
      </c>
      <c r="K11" s="42">
        <v>9601</v>
      </c>
      <c r="L11" s="26">
        <v>12258</v>
      </c>
      <c r="M11" s="40">
        <v>2997</v>
      </c>
      <c r="N11" s="41">
        <v>14034</v>
      </c>
      <c r="O11" s="42">
        <v>2839</v>
      </c>
      <c r="P11" s="26">
        <v>6900</v>
      </c>
      <c r="Q11" s="40">
        <v>10494</v>
      </c>
      <c r="R11" s="42">
        <v>10245</v>
      </c>
      <c r="S11" s="26">
        <v>6421</v>
      </c>
      <c r="T11" s="40">
        <v>6218</v>
      </c>
      <c r="U11" s="41">
        <v>10287</v>
      </c>
      <c r="V11" s="42">
        <v>4457</v>
      </c>
      <c r="W11" s="26">
        <v>3439</v>
      </c>
      <c r="X11" s="39">
        <v>17539</v>
      </c>
      <c r="Y11" s="26">
        <v>8634</v>
      </c>
      <c r="Z11" s="40">
        <v>11191</v>
      </c>
      <c r="AA11" s="43">
        <v>14524</v>
      </c>
    </row>
    <row r="12" spans="1:27" s="94" customFormat="1" ht="18.75" customHeight="1" thickBot="1" x14ac:dyDescent="0.4">
      <c r="A12" s="26"/>
      <c r="B12" s="15" t="s">
        <v>50</v>
      </c>
      <c r="C12" s="44">
        <v>27292</v>
      </c>
      <c r="D12" s="45">
        <v>13117</v>
      </c>
      <c r="E12" s="46">
        <v>14056</v>
      </c>
      <c r="F12" s="45">
        <v>3535</v>
      </c>
      <c r="G12" s="47">
        <v>6272</v>
      </c>
      <c r="H12" s="47">
        <v>6843</v>
      </c>
      <c r="I12" s="46">
        <v>10643</v>
      </c>
      <c r="J12" s="45">
        <v>5987</v>
      </c>
      <c r="K12" s="47">
        <v>10797</v>
      </c>
      <c r="L12" s="46">
        <v>7855</v>
      </c>
      <c r="M12" s="45">
        <v>2765</v>
      </c>
      <c r="N12" s="47">
        <v>12846</v>
      </c>
      <c r="O12" s="47">
        <v>2724</v>
      </c>
      <c r="P12" s="46">
        <v>8517</v>
      </c>
      <c r="Q12" s="45">
        <v>10940</v>
      </c>
      <c r="R12" s="47">
        <v>9369</v>
      </c>
      <c r="S12" s="46">
        <v>6851</v>
      </c>
      <c r="T12" s="45">
        <v>7012</v>
      </c>
      <c r="U12" s="47">
        <v>10099</v>
      </c>
      <c r="V12" s="47">
        <v>3919</v>
      </c>
      <c r="W12" s="46">
        <v>2709</v>
      </c>
      <c r="X12" s="45">
        <v>18568</v>
      </c>
      <c r="Y12" s="46">
        <v>7508</v>
      </c>
      <c r="Z12" s="45">
        <v>11570</v>
      </c>
      <c r="AA12" s="48">
        <v>13901</v>
      </c>
    </row>
    <row r="13" spans="1:27" s="93" customFormat="1" ht="21" customHeight="1" x14ac:dyDescent="0.35">
      <c r="A13" s="65"/>
      <c r="B13" s="224" t="s">
        <v>30</v>
      </c>
      <c r="C13" s="63">
        <v>13117</v>
      </c>
      <c r="D13" s="64">
        <v>13117</v>
      </c>
      <c r="E13" s="65">
        <v>0</v>
      </c>
      <c r="F13" s="66">
        <v>1809</v>
      </c>
      <c r="G13" s="67">
        <v>3129</v>
      </c>
      <c r="H13" s="68">
        <v>3358</v>
      </c>
      <c r="I13" s="65">
        <v>4821</v>
      </c>
      <c r="J13" s="66">
        <v>2917</v>
      </c>
      <c r="K13" s="68">
        <v>5145</v>
      </c>
      <c r="L13" s="65">
        <v>3859</v>
      </c>
      <c r="M13" s="66">
        <v>1586</v>
      </c>
      <c r="N13" s="67">
        <v>6207</v>
      </c>
      <c r="O13" s="68">
        <v>1646</v>
      </c>
      <c r="P13" s="65">
        <v>3510</v>
      </c>
      <c r="Q13" s="66">
        <v>5449</v>
      </c>
      <c r="R13" s="68">
        <v>4522</v>
      </c>
      <c r="S13" s="65">
        <v>3089</v>
      </c>
      <c r="T13" s="66">
        <v>3286</v>
      </c>
      <c r="U13" s="67">
        <v>4773</v>
      </c>
      <c r="V13" s="68">
        <v>1880</v>
      </c>
      <c r="W13" s="65">
        <v>1363</v>
      </c>
      <c r="X13" s="64">
        <v>8588</v>
      </c>
      <c r="Y13" s="65">
        <v>4115</v>
      </c>
      <c r="Z13" s="66">
        <v>5316</v>
      </c>
      <c r="AA13" s="69">
        <v>7150</v>
      </c>
    </row>
    <row r="14" spans="1:27" s="87" customFormat="1" ht="24" customHeight="1" x14ac:dyDescent="0.35">
      <c r="A14" s="1"/>
      <c r="B14" s="225"/>
      <c r="C14" s="49">
        <v>0.48</v>
      </c>
      <c r="D14" s="50">
        <v>1</v>
      </c>
      <c r="E14" s="51">
        <v>0</v>
      </c>
      <c r="F14" s="50">
        <v>0.51</v>
      </c>
      <c r="G14" s="51">
        <v>0.5</v>
      </c>
      <c r="H14" s="51">
        <v>0.49</v>
      </c>
      <c r="I14" s="51">
        <v>0.45</v>
      </c>
      <c r="J14" s="50">
        <v>0.49</v>
      </c>
      <c r="K14" s="51">
        <v>0.48</v>
      </c>
      <c r="L14" s="51">
        <v>0.49</v>
      </c>
      <c r="M14" s="50">
        <v>0.56999999999999995</v>
      </c>
      <c r="N14" s="51">
        <v>0.48</v>
      </c>
      <c r="O14" s="51">
        <v>0.6</v>
      </c>
      <c r="P14" s="51">
        <v>0.41</v>
      </c>
      <c r="Q14" s="50">
        <v>0.5</v>
      </c>
      <c r="R14" s="51">
        <v>0.48</v>
      </c>
      <c r="S14" s="51">
        <v>0.45</v>
      </c>
      <c r="T14" s="50">
        <v>0.47</v>
      </c>
      <c r="U14" s="51">
        <v>0.47</v>
      </c>
      <c r="V14" s="51">
        <v>0.48</v>
      </c>
      <c r="W14" s="51">
        <v>0.5</v>
      </c>
      <c r="X14" s="50">
        <v>0.46</v>
      </c>
      <c r="Y14" s="51">
        <v>0.55000000000000004</v>
      </c>
      <c r="Z14" s="50">
        <v>0.46</v>
      </c>
      <c r="AA14" s="52">
        <v>0.51</v>
      </c>
    </row>
    <row r="15" spans="1:27" s="93" customFormat="1" ht="21" customHeight="1" x14ac:dyDescent="0.35">
      <c r="A15" s="65"/>
      <c r="B15" s="228" t="s">
        <v>31</v>
      </c>
      <c r="C15" s="63">
        <v>14056</v>
      </c>
      <c r="D15" s="70">
        <v>0</v>
      </c>
      <c r="E15" s="65">
        <v>14056</v>
      </c>
      <c r="F15" s="71">
        <v>1693</v>
      </c>
      <c r="G15" s="72">
        <v>3094</v>
      </c>
      <c r="H15" s="73">
        <v>3458</v>
      </c>
      <c r="I15" s="65">
        <v>5810</v>
      </c>
      <c r="J15" s="71">
        <v>3049</v>
      </c>
      <c r="K15" s="73">
        <v>5629</v>
      </c>
      <c r="L15" s="65">
        <v>3954</v>
      </c>
      <c r="M15" s="71">
        <v>1162</v>
      </c>
      <c r="N15" s="72">
        <v>6592</v>
      </c>
      <c r="O15" s="73">
        <v>1062</v>
      </c>
      <c r="P15" s="65">
        <v>4975</v>
      </c>
      <c r="Q15" s="71">
        <v>5451</v>
      </c>
      <c r="R15" s="73">
        <v>4810</v>
      </c>
      <c r="S15" s="65">
        <v>3728</v>
      </c>
      <c r="T15" s="71">
        <v>3706</v>
      </c>
      <c r="U15" s="72">
        <v>5302</v>
      </c>
      <c r="V15" s="73">
        <v>2025</v>
      </c>
      <c r="W15" s="65">
        <v>1334</v>
      </c>
      <c r="X15" s="70">
        <v>9907</v>
      </c>
      <c r="Y15" s="65">
        <v>3362</v>
      </c>
      <c r="Z15" s="71">
        <v>6202</v>
      </c>
      <c r="AA15" s="74">
        <v>6704</v>
      </c>
    </row>
    <row r="16" spans="1:27" s="87" customFormat="1" ht="24" customHeight="1" x14ac:dyDescent="0.35">
      <c r="A16" s="1"/>
      <c r="B16" s="225"/>
      <c r="C16" s="49">
        <v>0.52</v>
      </c>
      <c r="D16" s="50">
        <v>0</v>
      </c>
      <c r="E16" s="51">
        <v>1</v>
      </c>
      <c r="F16" s="50">
        <v>0.48</v>
      </c>
      <c r="G16" s="51">
        <v>0.49</v>
      </c>
      <c r="H16" s="51">
        <v>0.51</v>
      </c>
      <c r="I16" s="51">
        <v>0.55000000000000004</v>
      </c>
      <c r="J16" s="50">
        <v>0.51</v>
      </c>
      <c r="K16" s="51">
        <v>0.52</v>
      </c>
      <c r="L16" s="51">
        <v>0.5</v>
      </c>
      <c r="M16" s="50">
        <v>0.42000000000000004</v>
      </c>
      <c r="N16" s="51">
        <v>0.52</v>
      </c>
      <c r="O16" s="51">
        <v>0.39</v>
      </c>
      <c r="P16" s="51">
        <v>0.59000000000000008</v>
      </c>
      <c r="Q16" s="50">
        <v>0.5</v>
      </c>
      <c r="R16" s="51">
        <v>0.52</v>
      </c>
      <c r="S16" s="51">
        <v>0.55000000000000004</v>
      </c>
      <c r="T16" s="50">
        <v>0.53</v>
      </c>
      <c r="U16" s="51">
        <v>0.53</v>
      </c>
      <c r="V16" s="51">
        <v>0.52</v>
      </c>
      <c r="W16" s="51">
        <v>0.5</v>
      </c>
      <c r="X16" s="50">
        <v>0.54</v>
      </c>
      <c r="Y16" s="51">
        <v>0.44999999999999996</v>
      </c>
      <c r="Z16" s="50">
        <v>0.54</v>
      </c>
      <c r="AA16" s="52">
        <v>0.49</v>
      </c>
    </row>
    <row r="17" spans="1:27" s="93" customFormat="1" ht="21" customHeight="1" x14ac:dyDescent="0.35">
      <c r="A17" s="65"/>
      <c r="B17" s="228" t="s">
        <v>87</v>
      </c>
      <c r="C17" s="63">
        <v>67</v>
      </c>
      <c r="D17" s="70">
        <v>0</v>
      </c>
      <c r="E17" s="65">
        <v>0</v>
      </c>
      <c r="F17" s="71">
        <v>18</v>
      </c>
      <c r="G17" s="72">
        <v>24</v>
      </c>
      <c r="H17" s="73">
        <v>17</v>
      </c>
      <c r="I17" s="65">
        <v>8</v>
      </c>
      <c r="J17" s="71">
        <v>12</v>
      </c>
      <c r="K17" s="73">
        <v>17</v>
      </c>
      <c r="L17" s="65">
        <v>25</v>
      </c>
      <c r="M17" s="71">
        <v>10</v>
      </c>
      <c r="N17" s="72">
        <v>27</v>
      </c>
      <c r="O17" s="73">
        <v>9</v>
      </c>
      <c r="P17" s="65">
        <v>17</v>
      </c>
      <c r="Q17" s="71">
        <v>22</v>
      </c>
      <c r="R17" s="73">
        <v>20</v>
      </c>
      <c r="S17" s="65">
        <v>21</v>
      </c>
      <c r="T17" s="71">
        <v>14</v>
      </c>
      <c r="U17" s="72">
        <v>19</v>
      </c>
      <c r="V17" s="73">
        <v>7</v>
      </c>
      <c r="W17" s="65">
        <v>9</v>
      </c>
      <c r="X17" s="70">
        <v>39</v>
      </c>
      <c r="Y17" s="65">
        <v>21</v>
      </c>
      <c r="Z17" s="71">
        <v>35</v>
      </c>
      <c r="AA17" s="74">
        <v>24</v>
      </c>
    </row>
    <row r="18" spans="1:27" s="87" customFormat="1" ht="24" customHeight="1" x14ac:dyDescent="0.35">
      <c r="A18" s="1"/>
      <c r="B18" s="225"/>
      <c r="C18" s="49">
        <v>0</v>
      </c>
      <c r="D18" s="50">
        <v>0</v>
      </c>
      <c r="E18" s="51">
        <v>0</v>
      </c>
      <c r="F18" s="50">
        <v>1.0000000000000009E-2</v>
      </c>
      <c r="G18" s="51">
        <v>1.0000000000000009E-2</v>
      </c>
      <c r="H18" s="51">
        <v>0</v>
      </c>
      <c r="I18" s="51">
        <v>0</v>
      </c>
      <c r="J18" s="50">
        <v>0</v>
      </c>
      <c r="K18" s="51">
        <v>0</v>
      </c>
      <c r="L18" s="51">
        <v>1.0000000000000009E-2</v>
      </c>
      <c r="M18" s="50">
        <v>1.0000000000000009E-2</v>
      </c>
      <c r="N18" s="51">
        <v>0</v>
      </c>
      <c r="O18" s="51">
        <v>1.0000000000000009E-2</v>
      </c>
      <c r="P18" s="51">
        <v>0</v>
      </c>
      <c r="Q18" s="50">
        <v>0</v>
      </c>
      <c r="R18" s="51">
        <v>0</v>
      </c>
      <c r="S18" s="51">
        <v>0</v>
      </c>
      <c r="T18" s="50">
        <v>0</v>
      </c>
      <c r="U18" s="51">
        <v>0</v>
      </c>
      <c r="V18" s="51">
        <v>0</v>
      </c>
      <c r="W18" s="51">
        <v>0</v>
      </c>
      <c r="X18" s="50">
        <v>0</v>
      </c>
      <c r="Y18" s="51">
        <v>0</v>
      </c>
      <c r="Z18" s="50">
        <v>0</v>
      </c>
      <c r="AA18" s="52">
        <v>0</v>
      </c>
    </row>
    <row r="19" spans="1:27" s="93" customFormat="1" ht="21" customHeight="1" x14ac:dyDescent="0.35">
      <c r="A19" s="65"/>
      <c r="B19" s="232" t="s">
        <v>88</v>
      </c>
      <c r="C19" s="63">
        <v>52</v>
      </c>
      <c r="D19" s="70">
        <v>0</v>
      </c>
      <c r="E19" s="65">
        <v>0</v>
      </c>
      <c r="F19" s="71">
        <v>14</v>
      </c>
      <c r="G19" s="72">
        <v>24</v>
      </c>
      <c r="H19" s="73">
        <v>10</v>
      </c>
      <c r="I19" s="65">
        <v>4</v>
      </c>
      <c r="J19" s="71">
        <v>9</v>
      </c>
      <c r="K19" s="73">
        <v>7</v>
      </c>
      <c r="L19" s="65">
        <v>17</v>
      </c>
      <c r="M19" s="71">
        <v>6</v>
      </c>
      <c r="N19" s="72">
        <v>19</v>
      </c>
      <c r="O19" s="73">
        <v>7</v>
      </c>
      <c r="P19" s="65">
        <v>15</v>
      </c>
      <c r="Q19" s="71">
        <v>18</v>
      </c>
      <c r="R19" s="73">
        <v>16</v>
      </c>
      <c r="S19" s="65">
        <v>13</v>
      </c>
      <c r="T19" s="71">
        <v>6</v>
      </c>
      <c r="U19" s="72">
        <v>5</v>
      </c>
      <c r="V19" s="73">
        <v>7</v>
      </c>
      <c r="W19" s="65">
        <v>2</v>
      </c>
      <c r="X19" s="70">
        <v>33</v>
      </c>
      <c r="Y19" s="65">
        <v>11</v>
      </c>
      <c r="Z19" s="71">
        <v>16</v>
      </c>
      <c r="AA19" s="74">
        <v>23</v>
      </c>
    </row>
    <row r="20" spans="1:27" s="87" customFormat="1" ht="24" customHeight="1" thickBot="1" x14ac:dyDescent="0.4">
      <c r="A20" s="1"/>
      <c r="B20" s="233"/>
      <c r="C20" s="59">
        <v>0</v>
      </c>
      <c r="D20" s="60">
        <v>0</v>
      </c>
      <c r="E20" s="61">
        <v>0</v>
      </c>
      <c r="F20" s="60">
        <v>0</v>
      </c>
      <c r="G20" s="61">
        <v>0</v>
      </c>
      <c r="H20" s="61">
        <v>0</v>
      </c>
      <c r="I20" s="61">
        <v>0</v>
      </c>
      <c r="J20" s="60">
        <v>0</v>
      </c>
      <c r="K20" s="61">
        <v>0</v>
      </c>
      <c r="L20" s="61">
        <v>0</v>
      </c>
      <c r="M20" s="60">
        <v>0</v>
      </c>
      <c r="N20" s="61">
        <v>0</v>
      </c>
      <c r="O20" s="61">
        <v>0</v>
      </c>
      <c r="P20" s="61">
        <v>0</v>
      </c>
      <c r="Q20" s="60">
        <v>0</v>
      </c>
      <c r="R20" s="61">
        <v>0</v>
      </c>
      <c r="S20" s="61">
        <v>0</v>
      </c>
      <c r="T20" s="60">
        <v>0</v>
      </c>
      <c r="U20" s="61">
        <v>0</v>
      </c>
      <c r="V20" s="61">
        <v>0</v>
      </c>
      <c r="W20" s="61">
        <v>0</v>
      </c>
      <c r="X20" s="60">
        <v>0</v>
      </c>
      <c r="Y20" s="61">
        <v>0</v>
      </c>
      <c r="Z20" s="60">
        <v>0</v>
      </c>
      <c r="AA20" s="62">
        <v>0</v>
      </c>
    </row>
    <row r="21" spans="1:27" s="93" customFormat="1" ht="21" customHeight="1" x14ac:dyDescent="0.35">
      <c r="A21" s="65"/>
      <c r="B21" s="3"/>
      <c r="C21" s="63"/>
      <c r="D21" s="65"/>
      <c r="E21" s="65"/>
      <c r="F21" s="65"/>
      <c r="G21" s="65"/>
      <c r="H21" s="65"/>
      <c r="I21" s="65"/>
      <c r="J21" s="65"/>
      <c r="K21" s="65"/>
      <c r="L21" s="65"/>
      <c r="M21" s="65"/>
      <c r="N21" s="65"/>
      <c r="O21" s="65"/>
      <c r="P21" s="65"/>
      <c r="Q21" s="65"/>
      <c r="R21" s="65"/>
      <c r="S21" s="65"/>
      <c r="T21" s="65"/>
      <c r="U21" s="65"/>
      <c r="V21" s="65"/>
      <c r="W21" s="65"/>
      <c r="X21" s="65"/>
      <c r="Y21" s="65"/>
      <c r="Z21" s="65"/>
      <c r="AA21" s="65"/>
    </row>
    <row r="22" spans="1:27" s="87" customFormat="1" ht="24" customHeight="1" x14ac:dyDescent="0.35">
      <c r="A22" s="1"/>
      <c r="B22" s="3"/>
      <c r="C22" s="2"/>
      <c r="D22" s="1"/>
      <c r="E22" s="1"/>
      <c r="F22" s="1"/>
      <c r="G22" s="1"/>
      <c r="H22" s="1"/>
      <c r="I22" s="1"/>
      <c r="J22" s="1"/>
      <c r="K22" s="1"/>
      <c r="L22" s="1"/>
      <c r="M22" s="1"/>
      <c r="N22" s="1"/>
      <c r="O22" s="1"/>
      <c r="P22" s="1"/>
      <c r="Q22" s="1"/>
      <c r="R22" s="1"/>
      <c r="S22" s="1"/>
      <c r="T22" s="1"/>
      <c r="U22" s="1"/>
      <c r="V22" s="1"/>
      <c r="W22" s="1"/>
      <c r="X22" s="1"/>
      <c r="Y22" s="1"/>
      <c r="Z22" s="1"/>
      <c r="AA22" s="1"/>
    </row>
    <row r="23" spans="1:27" s="93" customFormat="1" ht="21" customHeight="1" x14ac:dyDescent="0.35">
      <c r="A23" s="65"/>
      <c r="B23" s="3"/>
      <c r="C23" s="63"/>
      <c r="D23" s="65"/>
      <c r="E23" s="65"/>
      <c r="F23" s="65"/>
      <c r="G23" s="65"/>
      <c r="H23" s="65"/>
      <c r="I23" s="65"/>
      <c r="J23" s="65"/>
      <c r="K23" s="65"/>
      <c r="L23" s="65"/>
      <c r="M23" s="65"/>
      <c r="N23" s="65"/>
      <c r="O23" s="65"/>
      <c r="P23" s="65"/>
      <c r="Q23" s="65"/>
      <c r="R23" s="65"/>
      <c r="S23" s="65"/>
      <c r="T23" s="65"/>
      <c r="U23" s="65"/>
      <c r="V23" s="65"/>
      <c r="W23" s="65"/>
      <c r="X23" s="65"/>
      <c r="Y23" s="65"/>
      <c r="Z23" s="65"/>
      <c r="AA23" s="65"/>
    </row>
    <row r="24" spans="1:27" s="87" customFormat="1" ht="24" customHeight="1" x14ac:dyDescent="0.35">
      <c r="A24" s="1"/>
      <c r="B24" s="3"/>
      <c r="C24" s="2"/>
      <c r="D24" s="1"/>
      <c r="E24" s="1"/>
      <c r="F24" s="1"/>
      <c r="G24" s="1"/>
      <c r="H24" s="1"/>
      <c r="I24" s="1"/>
      <c r="J24" s="1"/>
      <c r="K24" s="1"/>
      <c r="L24" s="1"/>
      <c r="M24" s="1"/>
      <c r="N24" s="1"/>
      <c r="O24" s="1"/>
      <c r="P24" s="1"/>
      <c r="Q24" s="1"/>
      <c r="R24" s="1"/>
      <c r="S24" s="1"/>
      <c r="T24" s="1"/>
      <c r="U24" s="1"/>
      <c r="V24" s="1"/>
      <c r="W24" s="1"/>
      <c r="X24" s="1"/>
      <c r="Y24" s="1"/>
      <c r="Z24" s="1"/>
      <c r="AA24" s="1"/>
    </row>
    <row r="25" spans="1:27" s="93" customFormat="1" ht="21" customHeight="1" x14ac:dyDescent="0.35">
      <c r="A25" s="65"/>
      <c r="B25" s="3"/>
      <c r="C25" s="63"/>
      <c r="D25" s="65"/>
      <c r="E25" s="65"/>
      <c r="F25" s="65"/>
      <c r="G25" s="65"/>
      <c r="H25" s="65"/>
      <c r="I25" s="65"/>
      <c r="J25" s="65"/>
      <c r="K25" s="65"/>
      <c r="L25" s="65"/>
      <c r="M25" s="65"/>
      <c r="N25" s="65"/>
      <c r="O25" s="65"/>
      <c r="P25" s="65"/>
      <c r="Q25" s="65"/>
      <c r="R25" s="65"/>
      <c r="S25" s="65"/>
      <c r="T25" s="65"/>
      <c r="U25" s="65"/>
      <c r="V25" s="65"/>
      <c r="W25" s="65"/>
      <c r="X25" s="65"/>
      <c r="Y25" s="65"/>
      <c r="Z25" s="65"/>
      <c r="AA25" s="65"/>
    </row>
    <row r="26" spans="1:27" s="87" customFormat="1" ht="24" customHeight="1" x14ac:dyDescent="0.35">
      <c r="A26" s="1"/>
      <c r="B26" s="3"/>
      <c r="C26" s="2"/>
      <c r="D26" s="1"/>
      <c r="E26" s="1"/>
      <c r="F26" s="1"/>
      <c r="G26" s="1"/>
      <c r="H26" s="1"/>
      <c r="I26" s="1"/>
      <c r="J26" s="1"/>
      <c r="K26" s="1"/>
      <c r="L26" s="1"/>
      <c r="M26" s="1"/>
      <c r="N26" s="1"/>
      <c r="O26" s="1"/>
      <c r="P26" s="1"/>
      <c r="Q26" s="1"/>
      <c r="R26" s="1"/>
      <c r="S26" s="1"/>
      <c r="T26" s="1"/>
      <c r="U26" s="1"/>
      <c r="V26" s="1"/>
      <c r="W26" s="1"/>
      <c r="X26" s="1"/>
      <c r="Y26" s="1"/>
      <c r="Z26" s="1"/>
      <c r="AA26" s="1"/>
    </row>
    <row r="27" spans="1:27" x14ac:dyDescent="0.4"/>
    <row r="29" spans="1:27" ht="19" customHeight="1" x14ac:dyDescent="0.4">
      <c r="B29" s="1"/>
    </row>
  </sheetData>
  <mergeCells count="12">
    <mergeCell ref="B15:B16"/>
    <mergeCell ref="B17:B18"/>
    <mergeCell ref="B19:B20"/>
    <mergeCell ref="T9:W9"/>
    <mergeCell ref="X9:Y9"/>
    <mergeCell ref="Z9:AA9"/>
    <mergeCell ref="B13:B14"/>
    <mergeCell ref="D9:E9"/>
    <mergeCell ref="F9:I9"/>
    <mergeCell ref="J9:L9"/>
    <mergeCell ref="M9:P9"/>
    <mergeCell ref="Q9:S9"/>
  </mergeCells>
  <hyperlinks>
    <hyperlink ref="B1" location="'Table of Contents'!A1" display="Home" xr:uid="{3E320A8B-0B9E-2243-A132-B171F215C46C}"/>
  </hyperlinks>
  <pageMargins left="0.7" right="0.7" top="0.75" bottom="0.75" header="0.511811023622047" footer="0.511811023622047"/>
  <pageSetup paperSize="9" orientation="portrait" useFirstPageNumber="1"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euil14"/>
  <dimension ref="A1:Z37"/>
  <sheetViews>
    <sheetView showGridLines="0" zoomScale="60" zoomScaleNormal="60" workbookViewId="0">
      <selection activeCell="A6" sqref="A6:XFD6"/>
    </sheetView>
  </sheetViews>
  <sheetFormatPr defaultColWidth="20.6328125" defaultRowHeight="19" customHeight="1" x14ac:dyDescent="0.4"/>
  <cols>
    <col min="1" max="1" width="100.6328125" style="104" customWidth="1"/>
    <col min="2" max="2" width="20.6328125" style="88" customWidth="1"/>
    <col min="3" max="22" width="20.6328125" style="87"/>
    <col min="23" max="16384" width="20.6328125" style="102"/>
  </cols>
  <sheetData>
    <row r="1" spans="1:26" x14ac:dyDescent="0.4">
      <c r="A1" s="103" t="s">
        <v>89</v>
      </c>
    </row>
    <row r="2" spans="1:26" x14ac:dyDescent="0.4">
      <c r="A2" s="104" t="s">
        <v>19</v>
      </c>
    </row>
    <row r="3" spans="1:26" x14ac:dyDescent="0.4">
      <c r="A3" s="105" t="s">
        <v>1</v>
      </c>
      <c r="C3" s="88"/>
      <c r="D3" s="88"/>
      <c r="E3" s="88"/>
      <c r="F3" s="88"/>
      <c r="G3" s="88"/>
      <c r="H3" s="88"/>
      <c r="I3" s="88"/>
      <c r="J3" s="88"/>
      <c r="K3" s="88"/>
      <c r="L3" s="88"/>
      <c r="M3" s="88"/>
      <c r="N3" s="88"/>
      <c r="O3" s="88"/>
      <c r="P3" s="88"/>
      <c r="Q3" s="88"/>
      <c r="R3" s="88"/>
      <c r="S3" s="88"/>
      <c r="T3" s="88"/>
      <c r="U3" s="88"/>
      <c r="V3" s="88"/>
    </row>
    <row r="4" spans="1:26" x14ac:dyDescent="0.4">
      <c r="A4" s="105" t="s">
        <v>2</v>
      </c>
    </row>
    <row r="6" spans="1:26" s="217" customFormat="1" ht="19" customHeight="1" x14ac:dyDescent="0.5">
      <c r="A6" s="122"/>
      <c r="B6" s="88"/>
      <c r="C6" s="88"/>
      <c r="D6" s="88"/>
      <c r="E6" s="88"/>
      <c r="F6" s="88"/>
      <c r="G6" s="88"/>
      <c r="H6" s="88"/>
      <c r="I6" s="88"/>
      <c r="J6" s="88"/>
      <c r="K6" s="88"/>
      <c r="L6" s="88"/>
      <c r="M6" s="88"/>
      <c r="N6" s="88"/>
      <c r="O6" s="88"/>
      <c r="P6" s="88"/>
      <c r="Q6" s="88"/>
      <c r="R6" s="88"/>
      <c r="S6" s="88"/>
      <c r="T6" s="88"/>
      <c r="U6" s="88"/>
      <c r="V6" s="88"/>
    </row>
    <row r="7" spans="1:26" ht="32.5" customHeight="1" x14ac:dyDescent="0.4">
      <c r="A7" s="106" t="s">
        <v>90</v>
      </c>
      <c r="B7" s="87"/>
    </row>
    <row r="8" spans="1:26" ht="19.5" customHeight="1" x14ac:dyDescent="0.4">
      <c r="A8" s="106" t="s">
        <v>7</v>
      </c>
    </row>
    <row r="9" spans="1:26" ht="19" customHeight="1" thickBot="1" x14ac:dyDescent="0.45">
      <c r="C9" s="107"/>
    </row>
    <row r="10" spans="1:26" ht="57" customHeight="1" thickBot="1" x14ac:dyDescent="0.45">
      <c r="A10" s="241"/>
      <c r="B10" s="108" t="s">
        <v>21</v>
      </c>
      <c r="C10" s="245" t="s">
        <v>22</v>
      </c>
      <c r="D10" s="237"/>
      <c r="E10" s="237" t="s">
        <v>23</v>
      </c>
      <c r="F10" s="237"/>
      <c r="G10" s="237"/>
      <c r="H10" s="237"/>
      <c r="I10" s="237" t="s">
        <v>24</v>
      </c>
      <c r="J10" s="237"/>
      <c r="K10" s="237"/>
      <c r="L10" s="237" t="s">
        <v>25</v>
      </c>
      <c r="M10" s="237"/>
      <c r="N10" s="237"/>
      <c r="O10" s="237"/>
      <c r="P10" s="237" t="s">
        <v>26</v>
      </c>
      <c r="Q10" s="237"/>
      <c r="R10" s="237"/>
      <c r="S10" s="237" t="s">
        <v>27</v>
      </c>
      <c r="T10" s="237"/>
      <c r="U10" s="237"/>
      <c r="V10" s="237"/>
      <c r="W10" s="237" t="s">
        <v>28</v>
      </c>
      <c r="X10" s="238"/>
      <c r="Y10" s="239" t="s">
        <v>29</v>
      </c>
      <c r="Z10" s="240"/>
    </row>
    <row r="11" spans="1:26" s="94" customFormat="1" ht="18.75" customHeight="1" thickBot="1" x14ac:dyDescent="0.4">
      <c r="A11" s="242"/>
      <c r="B11" s="109"/>
      <c r="C11" s="129" t="s">
        <v>30</v>
      </c>
      <c r="D11" s="131" t="s">
        <v>31</v>
      </c>
      <c r="E11" s="132" t="s">
        <v>32</v>
      </c>
      <c r="F11" s="132" t="s">
        <v>33</v>
      </c>
      <c r="G11" s="132" t="s">
        <v>34</v>
      </c>
      <c r="H11" s="131" t="s">
        <v>35</v>
      </c>
      <c r="I11" s="132" t="s">
        <v>36</v>
      </c>
      <c r="J11" s="132" t="s">
        <v>37</v>
      </c>
      <c r="K11" s="131" t="s">
        <v>38</v>
      </c>
      <c r="L11" s="132" t="s">
        <v>39</v>
      </c>
      <c r="M11" s="132" t="s">
        <v>40</v>
      </c>
      <c r="N11" s="132" t="s">
        <v>41</v>
      </c>
      <c r="O11" s="131" t="s">
        <v>42</v>
      </c>
      <c r="P11" s="132" t="s">
        <v>43</v>
      </c>
      <c r="Q11" s="132" t="s">
        <v>44</v>
      </c>
      <c r="R11" s="131" t="s">
        <v>45</v>
      </c>
      <c r="S11" s="132">
        <v>1</v>
      </c>
      <c r="T11" s="132">
        <v>2</v>
      </c>
      <c r="U11" s="132">
        <v>3</v>
      </c>
      <c r="V11" s="131" t="s">
        <v>46</v>
      </c>
      <c r="W11" s="132" t="s">
        <v>47</v>
      </c>
      <c r="X11" s="131" t="s">
        <v>48</v>
      </c>
      <c r="Y11" s="132" t="s">
        <v>47</v>
      </c>
      <c r="Z11" s="133" t="s">
        <v>48</v>
      </c>
    </row>
    <row r="12" spans="1:26" s="94" customFormat="1" ht="18.75" customHeight="1" x14ac:dyDescent="0.35">
      <c r="A12" s="130"/>
      <c r="B12" s="110"/>
      <c r="C12" s="127"/>
      <c r="D12" s="128"/>
      <c r="E12" s="129"/>
      <c r="F12" s="129"/>
      <c r="G12" s="129"/>
      <c r="H12" s="128"/>
      <c r="I12" s="129"/>
      <c r="J12" s="129"/>
      <c r="K12" s="128"/>
      <c r="L12" s="129"/>
      <c r="M12" s="129"/>
      <c r="N12" s="129"/>
      <c r="O12" s="128"/>
      <c r="P12" s="129"/>
      <c r="Q12" s="129"/>
      <c r="R12" s="128"/>
      <c r="S12" s="129"/>
      <c r="T12" s="129"/>
      <c r="U12" s="129"/>
      <c r="V12" s="128"/>
      <c r="W12" s="129"/>
      <c r="X12" s="128"/>
      <c r="Y12" s="129"/>
      <c r="Z12" s="128"/>
    </row>
    <row r="13" spans="1:26" s="93" customFormat="1" ht="21" customHeight="1" x14ac:dyDescent="0.35">
      <c r="A13" s="134" t="s">
        <v>49</v>
      </c>
      <c r="B13" s="146">
        <v>27290</v>
      </c>
      <c r="C13" s="135">
        <v>0</v>
      </c>
      <c r="D13" s="136">
        <v>0</v>
      </c>
      <c r="E13" s="135">
        <v>0</v>
      </c>
      <c r="F13" s="135">
        <v>0</v>
      </c>
      <c r="G13" s="135">
        <v>0</v>
      </c>
      <c r="H13" s="136">
        <v>0</v>
      </c>
      <c r="I13" s="135">
        <v>0</v>
      </c>
      <c r="J13" s="135">
        <v>0</v>
      </c>
      <c r="K13" s="136">
        <v>0</v>
      </c>
      <c r="L13" s="135">
        <v>0</v>
      </c>
      <c r="M13" s="135">
        <v>0</v>
      </c>
      <c r="N13" s="135">
        <v>0</v>
      </c>
      <c r="O13" s="136">
        <v>0</v>
      </c>
      <c r="P13" s="135">
        <v>0</v>
      </c>
      <c r="Q13" s="135">
        <v>0</v>
      </c>
      <c r="R13" s="136">
        <v>0</v>
      </c>
      <c r="S13" s="135">
        <v>0</v>
      </c>
      <c r="T13" s="135">
        <v>0</v>
      </c>
      <c r="U13" s="135">
        <v>0</v>
      </c>
      <c r="V13" s="136">
        <v>0</v>
      </c>
      <c r="W13" s="135">
        <v>0</v>
      </c>
      <c r="X13" s="136">
        <v>0</v>
      </c>
      <c r="Y13" s="135">
        <v>0</v>
      </c>
      <c r="Z13" s="137">
        <v>0</v>
      </c>
    </row>
    <row r="14" spans="1:26" s="87" customFormat="1" ht="24" customHeight="1" x14ac:dyDescent="0.35">
      <c r="A14" s="112" t="s">
        <v>50</v>
      </c>
      <c r="B14" s="146">
        <v>27291</v>
      </c>
      <c r="C14" s="88">
        <v>11722</v>
      </c>
      <c r="D14" s="113">
        <v>14579</v>
      </c>
      <c r="E14" s="88">
        <v>4121</v>
      </c>
      <c r="F14" s="88">
        <v>7939</v>
      </c>
      <c r="G14" s="88">
        <v>6541</v>
      </c>
      <c r="H14" s="113">
        <v>7814</v>
      </c>
      <c r="I14" s="88">
        <v>4942</v>
      </c>
      <c r="J14" s="88">
        <v>10167</v>
      </c>
      <c r="K14" s="113">
        <v>5859</v>
      </c>
      <c r="L14" s="88">
        <v>2922</v>
      </c>
      <c r="M14" s="88">
        <v>12891</v>
      </c>
      <c r="N14" s="88">
        <v>2933</v>
      </c>
      <c r="O14" s="113">
        <v>7076</v>
      </c>
      <c r="P14" s="88">
        <v>9810</v>
      </c>
      <c r="Q14" s="88">
        <v>9700</v>
      </c>
      <c r="R14" s="113">
        <v>6698</v>
      </c>
      <c r="S14" s="88">
        <v>5934</v>
      </c>
      <c r="T14" s="88">
        <v>9829</v>
      </c>
      <c r="U14" s="88">
        <v>3817</v>
      </c>
      <c r="V14" s="113">
        <v>6769</v>
      </c>
      <c r="W14" s="88">
        <v>11722</v>
      </c>
      <c r="X14" s="113">
        <v>14579</v>
      </c>
      <c r="Y14" s="88">
        <v>11722</v>
      </c>
      <c r="Z14" s="114">
        <v>14579</v>
      </c>
    </row>
    <row r="15" spans="1:26" s="93" customFormat="1" ht="21" customHeight="1" thickBot="1" x14ac:dyDescent="0.4">
      <c r="A15" s="138"/>
      <c r="B15" s="4"/>
      <c r="C15" s="139"/>
      <c r="D15" s="136"/>
      <c r="E15" s="135"/>
      <c r="F15" s="135"/>
      <c r="G15" s="135"/>
      <c r="H15" s="136"/>
      <c r="I15" s="135"/>
      <c r="J15" s="135"/>
      <c r="K15" s="136"/>
      <c r="L15" s="135"/>
      <c r="M15" s="135"/>
      <c r="N15" s="135"/>
      <c r="O15" s="136"/>
      <c r="P15" s="135"/>
      <c r="Q15" s="135"/>
      <c r="R15" s="136"/>
      <c r="S15" s="135"/>
      <c r="T15" s="135"/>
      <c r="U15" s="135"/>
      <c r="V15" s="136"/>
      <c r="W15" s="135"/>
      <c r="X15" s="136"/>
      <c r="Y15" s="135"/>
      <c r="Z15" s="136"/>
    </row>
    <row r="16" spans="1:26" s="87" customFormat="1" ht="24" customHeight="1" thickBot="1" x14ac:dyDescent="0.4">
      <c r="A16" s="243" t="s">
        <v>91</v>
      </c>
      <c r="B16" s="147">
        <v>26601</v>
      </c>
      <c r="C16" s="87">
        <v>11377</v>
      </c>
      <c r="D16" s="116">
        <v>14086</v>
      </c>
      <c r="E16" s="117">
        <v>3985</v>
      </c>
      <c r="F16" s="117">
        <v>7713</v>
      </c>
      <c r="G16" s="117">
        <v>6275</v>
      </c>
      <c r="H16" s="116">
        <v>7592</v>
      </c>
      <c r="I16" s="117">
        <v>4804</v>
      </c>
      <c r="J16" s="117">
        <v>9863</v>
      </c>
      <c r="K16" s="116">
        <v>5611</v>
      </c>
      <c r="L16" s="117">
        <v>2834</v>
      </c>
      <c r="M16" s="117">
        <v>12513</v>
      </c>
      <c r="N16" s="117">
        <v>2802</v>
      </c>
      <c r="O16" s="116">
        <v>6844</v>
      </c>
      <c r="P16" s="117">
        <v>9471</v>
      </c>
      <c r="Q16" s="117">
        <v>9393</v>
      </c>
      <c r="R16" s="116">
        <v>6502</v>
      </c>
      <c r="S16" s="117">
        <v>5740</v>
      </c>
      <c r="T16" s="117">
        <v>9531</v>
      </c>
      <c r="U16" s="117">
        <v>3670</v>
      </c>
      <c r="V16" s="116">
        <v>6558</v>
      </c>
      <c r="W16" s="117">
        <v>11377</v>
      </c>
      <c r="X16" s="116">
        <v>14086</v>
      </c>
      <c r="Y16" s="117">
        <v>11377</v>
      </c>
      <c r="Z16" s="118">
        <v>14086</v>
      </c>
    </row>
    <row r="17" spans="1:26" s="93" customFormat="1" ht="21" customHeight="1" x14ac:dyDescent="0.35">
      <c r="A17" s="244"/>
      <c r="B17" s="148">
        <v>0.97</v>
      </c>
      <c r="C17" s="140">
        <v>0</v>
      </c>
      <c r="D17" s="141">
        <v>0</v>
      </c>
      <c r="E17" s="140">
        <v>0</v>
      </c>
      <c r="F17" s="140">
        <v>0</v>
      </c>
      <c r="G17" s="140">
        <v>0</v>
      </c>
      <c r="H17" s="141">
        <v>0</v>
      </c>
      <c r="I17" s="140">
        <v>0</v>
      </c>
      <c r="J17" s="140">
        <v>0</v>
      </c>
      <c r="K17" s="141">
        <v>0</v>
      </c>
      <c r="L17" s="140">
        <v>0</v>
      </c>
      <c r="M17" s="140">
        <v>0</v>
      </c>
      <c r="N17" s="140">
        <v>0</v>
      </c>
      <c r="O17" s="141">
        <v>0</v>
      </c>
      <c r="P17" s="140">
        <v>0</v>
      </c>
      <c r="Q17" s="140">
        <v>0</v>
      </c>
      <c r="R17" s="141">
        <v>0</v>
      </c>
      <c r="S17" s="140">
        <v>0</v>
      </c>
      <c r="T17" s="140">
        <v>0</v>
      </c>
      <c r="U17" s="140">
        <v>0</v>
      </c>
      <c r="V17" s="141">
        <v>0</v>
      </c>
      <c r="W17" s="140">
        <v>0</v>
      </c>
      <c r="X17" s="141">
        <v>0</v>
      </c>
      <c r="Y17" s="140">
        <v>0</v>
      </c>
      <c r="Z17" s="142">
        <v>0</v>
      </c>
    </row>
    <row r="18" spans="1:26" s="87" customFormat="1" ht="24" customHeight="1" x14ac:dyDescent="0.35">
      <c r="A18" s="235" t="s">
        <v>92</v>
      </c>
      <c r="B18" s="146">
        <v>1062</v>
      </c>
      <c r="C18" s="87">
        <v>581</v>
      </c>
      <c r="D18" s="120">
        <v>838</v>
      </c>
      <c r="E18" s="87">
        <v>240</v>
      </c>
      <c r="F18" s="87">
        <v>456</v>
      </c>
      <c r="G18" s="87">
        <v>386</v>
      </c>
      <c r="H18" s="120">
        <v>351</v>
      </c>
      <c r="I18" s="87">
        <v>367</v>
      </c>
      <c r="J18" s="87">
        <v>430</v>
      </c>
      <c r="K18" s="120">
        <v>389</v>
      </c>
      <c r="L18" s="87">
        <v>194</v>
      </c>
      <c r="M18" s="87">
        <v>655</v>
      </c>
      <c r="N18" s="87">
        <v>168</v>
      </c>
      <c r="O18" s="120">
        <v>390</v>
      </c>
      <c r="P18" s="87">
        <v>519</v>
      </c>
      <c r="Q18" s="87">
        <v>481</v>
      </c>
      <c r="R18" s="120">
        <v>376</v>
      </c>
      <c r="S18" s="87">
        <v>355</v>
      </c>
      <c r="T18" s="87">
        <v>474</v>
      </c>
      <c r="U18" s="87">
        <v>233</v>
      </c>
      <c r="V18" s="120">
        <v>367</v>
      </c>
      <c r="W18" s="87">
        <v>581</v>
      </c>
      <c r="X18" s="120">
        <v>838</v>
      </c>
      <c r="Y18" s="87">
        <v>581</v>
      </c>
      <c r="Z18" s="121">
        <v>838</v>
      </c>
    </row>
    <row r="19" spans="1:26" s="93" customFormat="1" ht="21" customHeight="1" x14ac:dyDescent="0.35">
      <c r="A19" s="236"/>
      <c r="B19" s="148">
        <v>0.04</v>
      </c>
      <c r="C19" s="140">
        <v>0</v>
      </c>
      <c r="D19" s="141">
        <v>0</v>
      </c>
      <c r="E19" s="140">
        <v>0</v>
      </c>
      <c r="F19" s="140">
        <v>0</v>
      </c>
      <c r="G19" s="140">
        <v>0</v>
      </c>
      <c r="H19" s="141">
        <v>0</v>
      </c>
      <c r="I19" s="140">
        <v>0</v>
      </c>
      <c r="J19" s="140">
        <v>0</v>
      </c>
      <c r="K19" s="141">
        <v>0</v>
      </c>
      <c r="L19" s="140">
        <v>0</v>
      </c>
      <c r="M19" s="140">
        <v>0</v>
      </c>
      <c r="N19" s="140">
        <v>0</v>
      </c>
      <c r="O19" s="141">
        <v>0</v>
      </c>
      <c r="P19" s="140">
        <v>0</v>
      </c>
      <c r="Q19" s="140">
        <v>0</v>
      </c>
      <c r="R19" s="141">
        <v>0</v>
      </c>
      <c r="S19" s="140">
        <v>0</v>
      </c>
      <c r="T19" s="140">
        <v>0</v>
      </c>
      <c r="U19" s="140">
        <v>0</v>
      </c>
      <c r="V19" s="141">
        <v>0</v>
      </c>
      <c r="W19" s="140">
        <v>0</v>
      </c>
      <c r="X19" s="141">
        <v>0</v>
      </c>
      <c r="Y19" s="140">
        <v>0</v>
      </c>
      <c r="Z19" s="142">
        <v>0</v>
      </c>
    </row>
    <row r="20" spans="1:26" s="87" customFormat="1" ht="24" customHeight="1" x14ac:dyDescent="0.35">
      <c r="A20" s="235" t="s">
        <v>93</v>
      </c>
      <c r="B20" s="146">
        <v>0</v>
      </c>
      <c r="C20" s="87">
        <v>0</v>
      </c>
      <c r="D20" s="120">
        <v>0</v>
      </c>
      <c r="E20" s="87">
        <v>0</v>
      </c>
      <c r="F20" s="87">
        <v>0</v>
      </c>
      <c r="G20" s="87">
        <v>0</v>
      </c>
      <c r="H20" s="120">
        <v>0</v>
      </c>
      <c r="I20" s="87">
        <v>0</v>
      </c>
      <c r="J20" s="87">
        <v>0</v>
      </c>
      <c r="K20" s="120">
        <v>0</v>
      </c>
      <c r="L20" s="87">
        <v>0</v>
      </c>
      <c r="M20" s="87">
        <v>0</v>
      </c>
      <c r="N20" s="87">
        <v>0</v>
      </c>
      <c r="O20" s="120">
        <v>0</v>
      </c>
      <c r="P20" s="87">
        <v>0</v>
      </c>
      <c r="Q20" s="87">
        <v>0</v>
      </c>
      <c r="R20" s="120">
        <v>0</v>
      </c>
      <c r="S20" s="87">
        <v>0</v>
      </c>
      <c r="T20" s="87">
        <v>0</v>
      </c>
      <c r="U20" s="87">
        <v>0</v>
      </c>
      <c r="V20" s="120">
        <v>0</v>
      </c>
      <c r="W20" s="87">
        <v>0</v>
      </c>
      <c r="X20" s="120">
        <v>0</v>
      </c>
      <c r="Y20" s="87">
        <v>0</v>
      </c>
      <c r="Z20" s="121">
        <v>0</v>
      </c>
    </row>
    <row r="21" spans="1:26" s="93" customFormat="1" ht="21" customHeight="1" x14ac:dyDescent="0.35">
      <c r="A21" s="236"/>
      <c r="B21" s="148">
        <v>0</v>
      </c>
      <c r="C21" s="140">
        <v>0</v>
      </c>
      <c r="D21" s="141">
        <v>0</v>
      </c>
      <c r="E21" s="140">
        <v>0</v>
      </c>
      <c r="F21" s="140">
        <v>0</v>
      </c>
      <c r="G21" s="140">
        <v>0</v>
      </c>
      <c r="H21" s="141">
        <v>0</v>
      </c>
      <c r="I21" s="140">
        <v>0</v>
      </c>
      <c r="J21" s="140">
        <v>0</v>
      </c>
      <c r="K21" s="141">
        <v>0</v>
      </c>
      <c r="L21" s="140">
        <v>0</v>
      </c>
      <c r="M21" s="140">
        <v>0</v>
      </c>
      <c r="N21" s="140">
        <v>0</v>
      </c>
      <c r="O21" s="141">
        <v>0</v>
      </c>
      <c r="P21" s="140">
        <v>0</v>
      </c>
      <c r="Q21" s="140">
        <v>0</v>
      </c>
      <c r="R21" s="141">
        <v>0</v>
      </c>
      <c r="S21" s="140">
        <v>0</v>
      </c>
      <c r="T21" s="140">
        <v>0</v>
      </c>
      <c r="U21" s="140">
        <v>0</v>
      </c>
      <c r="V21" s="141">
        <v>0</v>
      </c>
      <c r="W21" s="140">
        <v>0</v>
      </c>
      <c r="X21" s="141">
        <v>0</v>
      </c>
      <c r="Y21" s="140">
        <v>0</v>
      </c>
      <c r="Z21" s="142">
        <v>0</v>
      </c>
    </row>
    <row r="22" spans="1:26" s="87" customFormat="1" ht="24" customHeight="1" x14ac:dyDescent="0.35">
      <c r="A22" s="119"/>
      <c r="B22" s="149"/>
      <c r="D22" s="120"/>
      <c r="H22" s="120"/>
      <c r="K22" s="120"/>
      <c r="O22" s="120"/>
      <c r="R22" s="120"/>
      <c r="V22" s="120"/>
      <c r="X22" s="120"/>
      <c r="Z22" s="120"/>
    </row>
    <row r="23" spans="1:26" s="93" customFormat="1" ht="21" customHeight="1" thickBot="1" x14ac:dyDescent="0.4">
      <c r="A23" s="143"/>
      <c r="B23" s="150"/>
      <c r="C23" s="144"/>
      <c r="D23" s="145"/>
      <c r="E23" s="144"/>
      <c r="F23" s="144"/>
      <c r="G23" s="144"/>
      <c r="H23" s="145"/>
      <c r="I23" s="144"/>
      <c r="J23" s="144"/>
      <c r="K23" s="145"/>
      <c r="L23" s="144"/>
      <c r="M23" s="144"/>
      <c r="N23" s="144"/>
      <c r="O23" s="145"/>
      <c r="P23" s="144"/>
      <c r="Q23" s="144"/>
      <c r="R23" s="145"/>
      <c r="S23" s="144"/>
      <c r="T23" s="144"/>
      <c r="U23" s="144"/>
      <c r="V23" s="145"/>
      <c r="W23" s="144"/>
      <c r="X23" s="145"/>
      <c r="Y23" s="144"/>
      <c r="Z23" s="145"/>
    </row>
    <row r="24" spans="1:26" s="87" customFormat="1" ht="24" customHeight="1" x14ac:dyDescent="0.35">
      <c r="B24" s="28"/>
    </row>
    <row r="25" spans="1:26" s="93" customFormat="1" ht="21" customHeight="1" x14ac:dyDescent="0.35">
      <c r="B25" s="151"/>
      <c r="C25" s="140"/>
      <c r="D25" s="140"/>
      <c r="E25" s="140"/>
      <c r="F25" s="140"/>
      <c r="G25" s="140"/>
      <c r="H25" s="140"/>
      <c r="I25" s="140"/>
      <c r="J25" s="140"/>
      <c r="K25" s="140"/>
      <c r="L25" s="140"/>
      <c r="M25" s="140"/>
      <c r="N25" s="140"/>
      <c r="O25" s="140"/>
      <c r="P25" s="140"/>
      <c r="Q25" s="140"/>
      <c r="R25" s="140"/>
      <c r="S25" s="140"/>
      <c r="T25" s="140"/>
      <c r="U25" s="140"/>
      <c r="V25" s="140"/>
    </row>
    <row r="26" spans="1:26" s="87" customFormat="1" ht="24" customHeight="1" x14ac:dyDescent="0.35">
      <c r="B26" s="28"/>
    </row>
    <row r="27" spans="1:26" ht="24" customHeight="1" x14ac:dyDescent="0.4">
      <c r="B27" s="123"/>
      <c r="C27" s="124"/>
      <c r="D27" s="124"/>
      <c r="E27" s="124"/>
      <c r="F27" s="124"/>
      <c r="G27" s="124"/>
      <c r="H27" s="124"/>
      <c r="I27" s="124"/>
      <c r="J27" s="124"/>
      <c r="K27" s="124"/>
      <c r="L27" s="124"/>
      <c r="M27" s="124"/>
      <c r="N27" s="124"/>
      <c r="O27" s="124"/>
      <c r="P27" s="124"/>
      <c r="Q27" s="124"/>
      <c r="R27" s="124"/>
      <c r="S27" s="125"/>
      <c r="T27" s="125"/>
      <c r="U27" s="125"/>
      <c r="V27" s="125"/>
    </row>
    <row r="28" spans="1:26" x14ac:dyDescent="0.4">
      <c r="B28" s="111"/>
      <c r="C28" s="90"/>
      <c r="D28" s="90"/>
      <c r="E28" s="90"/>
      <c r="F28" s="90"/>
      <c r="G28" s="90"/>
      <c r="H28" s="90"/>
      <c r="I28" s="90"/>
      <c r="J28" s="90"/>
      <c r="K28" s="90"/>
      <c r="L28" s="90"/>
      <c r="M28" s="90"/>
      <c r="N28" s="90"/>
      <c r="O28" s="90"/>
      <c r="P28" s="90"/>
      <c r="Q28" s="90"/>
      <c r="R28" s="90"/>
      <c r="S28" s="90"/>
      <c r="T28" s="90"/>
      <c r="U28" s="90"/>
      <c r="V28" s="90"/>
    </row>
    <row r="29" spans="1:26" ht="24" customHeight="1" x14ac:dyDescent="0.4">
      <c r="B29" s="126"/>
      <c r="C29" s="124"/>
      <c r="D29" s="124"/>
      <c r="E29" s="124"/>
      <c r="F29" s="124"/>
      <c r="G29" s="124"/>
      <c r="H29" s="124"/>
      <c r="I29" s="124"/>
      <c r="J29" s="124"/>
      <c r="K29" s="124"/>
      <c r="L29" s="124"/>
      <c r="M29" s="124"/>
      <c r="N29" s="124"/>
      <c r="O29" s="124"/>
      <c r="P29" s="124"/>
      <c r="Q29" s="124"/>
      <c r="R29" s="124"/>
      <c r="S29" s="125"/>
      <c r="T29" s="125"/>
      <c r="U29" s="125"/>
      <c r="V29" s="125"/>
    </row>
    <row r="30" spans="1:26" x14ac:dyDescent="0.4">
      <c r="B30" s="111"/>
      <c r="C30" s="90"/>
      <c r="D30" s="90"/>
      <c r="E30" s="90"/>
      <c r="F30" s="90"/>
      <c r="G30" s="90"/>
      <c r="H30" s="90"/>
      <c r="I30" s="90"/>
      <c r="J30" s="90"/>
      <c r="K30" s="90"/>
      <c r="L30" s="90"/>
      <c r="M30" s="90"/>
      <c r="N30" s="90"/>
      <c r="O30" s="90"/>
      <c r="P30" s="90"/>
      <c r="Q30" s="90"/>
      <c r="R30" s="90"/>
      <c r="S30" s="90"/>
      <c r="T30" s="90"/>
      <c r="U30" s="90"/>
      <c r="V30" s="90"/>
    </row>
    <row r="31" spans="1:26" ht="24" customHeight="1" x14ac:dyDescent="0.4">
      <c r="B31" s="123"/>
      <c r="C31" s="124"/>
      <c r="D31" s="124"/>
      <c r="E31" s="124"/>
      <c r="F31" s="124"/>
      <c r="G31" s="124"/>
      <c r="H31" s="124"/>
      <c r="I31" s="124"/>
      <c r="J31" s="124"/>
      <c r="K31" s="124"/>
      <c r="L31" s="124"/>
      <c r="M31" s="124"/>
      <c r="N31" s="124"/>
      <c r="O31" s="124"/>
      <c r="P31" s="124"/>
      <c r="Q31" s="124"/>
      <c r="R31" s="124"/>
      <c r="S31" s="125"/>
      <c r="T31" s="125"/>
      <c r="U31" s="125"/>
      <c r="V31" s="125"/>
    </row>
    <row r="32" spans="1:26" x14ac:dyDescent="0.4">
      <c r="B32" s="111"/>
      <c r="C32" s="90"/>
      <c r="D32" s="90"/>
      <c r="E32" s="90"/>
      <c r="F32" s="90"/>
      <c r="G32" s="90"/>
      <c r="H32" s="90"/>
      <c r="I32" s="90"/>
      <c r="J32" s="90"/>
      <c r="K32" s="90"/>
      <c r="L32" s="90"/>
      <c r="M32" s="90"/>
      <c r="N32" s="90"/>
      <c r="O32" s="90"/>
      <c r="P32" s="90"/>
      <c r="Q32" s="90"/>
      <c r="R32" s="90"/>
      <c r="S32" s="90"/>
      <c r="T32" s="90"/>
      <c r="U32" s="90"/>
      <c r="V32" s="90"/>
    </row>
    <row r="33" spans="2:22" ht="24" customHeight="1" x14ac:dyDescent="0.4">
      <c r="B33" s="123"/>
      <c r="C33" s="124"/>
      <c r="D33" s="124"/>
      <c r="E33" s="124"/>
      <c r="F33" s="124"/>
      <c r="G33" s="124"/>
      <c r="H33" s="124"/>
      <c r="I33" s="124"/>
      <c r="J33" s="124"/>
      <c r="K33" s="124"/>
      <c r="L33" s="124"/>
      <c r="M33" s="124"/>
      <c r="N33" s="124"/>
      <c r="O33" s="124"/>
      <c r="P33" s="124"/>
      <c r="Q33" s="124"/>
      <c r="R33" s="124"/>
      <c r="S33" s="125"/>
      <c r="T33" s="125"/>
      <c r="U33" s="125"/>
      <c r="V33" s="125"/>
    </row>
    <row r="34" spans="2:22" x14ac:dyDescent="0.4">
      <c r="B34" s="111"/>
      <c r="C34" s="90"/>
      <c r="D34" s="90"/>
      <c r="E34" s="90"/>
      <c r="F34" s="90"/>
      <c r="G34" s="90"/>
      <c r="H34" s="90"/>
      <c r="I34" s="90"/>
      <c r="J34" s="90"/>
      <c r="K34" s="90"/>
      <c r="L34" s="90"/>
      <c r="M34" s="90"/>
      <c r="N34" s="90"/>
      <c r="O34" s="90"/>
      <c r="P34" s="90"/>
      <c r="Q34" s="90"/>
      <c r="R34" s="90"/>
      <c r="S34" s="90"/>
      <c r="T34" s="90"/>
      <c r="U34" s="90"/>
      <c r="V34" s="90"/>
    </row>
    <row r="35" spans="2:22" ht="24" customHeight="1" x14ac:dyDescent="0.4">
      <c r="B35" s="123"/>
      <c r="C35" s="124"/>
      <c r="D35" s="124"/>
      <c r="E35" s="124"/>
      <c r="F35" s="124"/>
      <c r="G35" s="124"/>
      <c r="H35" s="124"/>
      <c r="I35" s="124"/>
      <c r="J35" s="124"/>
      <c r="K35" s="124"/>
      <c r="L35" s="124"/>
      <c r="M35" s="124"/>
      <c r="N35" s="124"/>
      <c r="O35" s="124"/>
      <c r="P35" s="124"/>
      <c r="Q35" s="124"/>
      <c r="R35" s="124"/>
      <c r="S35" s="125"/>
      <c r="T35" s="125"/>
      <c r="U35" s="125"/>
      <c r="V35" s="125"/>
    </row>
    <row r="36" spans="2:22" x14ac:dyDescent="0.4">
      <c r="B36" s="111"/>
      <c r="C36" s="90"/>
      <c r="D36" s="90"/>
      <c r="E36" s="90"/>
      <c r="F36" s="90"/>
      <c r="G36" s="90"/>
      <c r="H36" s="90"/>
      <c r="I36" s="90"/>
      <c r="J36" s="90"/>
      <c r="K36" s="90"/>
      <c r="L36" s="90"/>
      <c r="M36" s="90"/>
      <c r="N36" s="90"/>
      <c r="O36" s="90"/>
      <c r="P36" s="90"/>
      <c r="Q36" s="90"/>
      <c r="R36" s="90"/>
      <c r="S36" s="90"/>
      <c r="T36" s="90"/>
      <c r="U36" s="90"/>
      <c r="V36" s="90"/>
    </row>
    <row r="37" spans="2:22" ht="24" customHeight="1" x14ac:dyDescent="0.4">
      <c r="B37" s="123"/>
      <c r="C37" s="124"/>
      <c r="D37" s="124"/>
      <c r="E37" s="124"/>
      <c r="F37" s="124"/>
      <c r="G37" s="124"/>
      <c r="H37" s="124"/>
      <c r="I37" s="124"/>
      <c r="J37" s="124"/>
      <c r="K37" s="124"/>
      <c r="L37" s="124"/>
      <c r="M37" s="124"/>
      <c r="N37" s="124"/>
      <c r="O37" s="124"/>
      <c r="P37" s="124"/>
      <c r="Q37" s="124"/>
      <c r="R37" s="124"/>
      <c r="S37" s="125"/>
      <c r="T37" s="125"/>
      <c r="U37" s="125"/>
      <c r="V37" s="125"/>
    </row>
  </sheetData>
  <mergeCells count="12">
    <mergeCell ref="A18:A19"/>
    <mergeCell ref="A20:A21"/>
    <mergeCell ref="S10:V10"/>
    <mergeCell ref="W10:X10"/>
    <mergeCell ref="Y10:Z10"/>
    <mergeCell ref="A10:A11"/>
    <mergeCell ref="A16:A17"/>
    <mergeCell ref="C10:D10"/>
    <mergeCell ref="E10:H10"/>
    <mergeCell ref="I10:K10"/>
    <mergeCell ref="L10:O10"/>
    <mergeCell ref="P10:R10"/>
  </mergeCells>
  <pageMargins left="0.7" right="0.7" top="0.75" bottom="0.75" header="0.511811023622047" footer="0.511811023622047"/>
  <pageSetup paperSize="9" orientation="portrait" useFirstPageNumber="1" horizontalDpi="300" verticalDpi="30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Feuil15"/>
  <dimension ref="A1:Z75"/>
  <sheetViews>
    <sheetView showGridLines="0" zoomScale="60" zoomScaleNormal="60" workbookViewId="0">
      <selection activeCell="A6" sqref="A6:XFD6"/>
    </sheetView>
  </sheetViews>
  <sheetFormatPr defaultColWidth="20.6328125" defaultRowHeight="19" customHeight="1" x14ac:dyDescent="0.4"/>
  <cols>
    <col min="1" max="1" width="100.6328125" style="104" customWidth="1"/>
    <col min="2" max="2" width="20.6328125" style="88" customWidth="1"/>
    <col min="3" max="22" width="20.6328125" style="87"/>
    <col min="23" max="16384" width="20.6328125" style="102"/>
  </cols>
  <sheetData>
    <row r="1" spans="1:26" x14ac:dyDescent="0.4">
      <c r="A1" s="103" t="s">
        <v>89</v>
      </c>
    </row>
    <row r="2" spans="1:26" x14ac:dyDescent="0.4">
      <c r="A2" s="104" t="s">
        <v>19</v>
      </c>
    </row>
    <row r="3" spans="1:26" x14ac:dyDescent="0.4">
      <c r="A3" s="105" t="s">
        <v>1</v>
      </c>
      <c r="C3" s="88"/>
      <c r="D3" s="88"/>
      <c r="E3" s="88"/>
      <c r="F3" s="88"/>
      <c r="G3" s="88"/>
      <c r="H3" s="88"/>
      <c r="I3" s="88"/>
      <c r="J3" s="88"/>
      <c r="K3" s="88"/>
      <c r="L3" s="88"/>
      <c r="M3" s="88"/>
      <c r="N3" s="88"/>
      <c r="O3" s="88"/>
      <c r="P3" s="88"/>
      <c r="Q3" s="88"/>
      <c r="R3" s="88"/>
      <c r="S3" s="88"/>
      <c r="T3" s="88"/>
      <c r="U3" s="88"/>
      <c r="V3" s="88"/>
    </row>
    <row r="4" spans="1:26" x14ac:dyDescent="0.4">
      <c r="A4" s="105" t="s">
        <v>2</v>
      </c>
    </row>
    <row r="6" spans="1:26" s="217" customFormat="1" ht="19" customHeight="1" x14ac:dyDescent="0.5">
      <c r="A6" s="122"/>
      <c r="B6" s="88"/>
      <c r="C6" s="88"/>
      <c r="D6" s="88"/>
      <c r="E6" s="88"/>
      <c r="F6" s="88"/>
      <c r="G6" s="88"/>
      <c r="H6" s="88"/>
      <c r="I6" s="88"/>
      <c r="J6" s="88"/>
      <c r="K6" s="88"/>
      <c r="L6" s="88"/>
      <c r="M6" s="88"/>
      <c r="N6" s="88"/>
      <c r="O6" s="88"/>
      <c r="P6" s="88"/>
      <c r="Q6" s="88"/>
      <c r="R6" s="88"/>
      <c r="S6" s="88"/>
      <c r="T6" s="88"/>
      <c r="U6" s="88"/>
      <c r="V6" s="88"/>
    </row>
    <row r="7" spans="1:26" ht="19.5" customHeight="1" x14ac:dyDescent="0.4">
      <c r="A7" s="106" t="s">
        <v>94</v>
      </c>
      <c r="B7" s="87"/>
    </row>
    <row r="8" spans="1:26" ht="19.5" customHeight="1" x14ac:dyDescent="0.4">
      <c r="A8" s="106" t="s">
        <v>95</v>
      </c>
    </row>
    <row r="9" spans="1:26" ht="19" customHeight="1" thickBot="1" x14ac:dyDescent="0.45">
      <c r="C9" s="107"/>
    </row>
    <row r="10" spans="1:26" ht="57" customHeight="1" thickBot="1" x14ac:dyDescent="0.45">
      <c r="A10" s="241"/>
      <c r="B10" s="108" t="s">
        <v>21</v>
      </c>
      <c r="C10" s="245" t="s">
        <v>22</v>
      </c>
      <c r="D10" s="237"/>
      <c r="E10" s="237" t="s">
        <v>23</v>
      </c>
      <c r="F10" s="237"/>
      <c r="G10" s="237"/>
      <c r="H10" s="237"/>
      <c r="I10" s="237" t="s">
        <v>24</v>
      </c>
      <c r="J10" s="237"/>
      <c r="K10" s="237"/>
      <c r="L10" s="237" t="s">
        <v>25</v>
      </c>
      <c r="M10" s="237"/>
      <c r="N10" s="237"/>
      <c r="O10" s="237"/>
      <c r="P10" s="237" t="s">
        <v>26</v>
      </c>
      <c r="Q10" s="237"/>
      <c r="R10" s="237"/>
      <c r="S10" s="237" t="s">
        <v>27</v>
      </c>
      <c r="T10" s="237"/>
      <c r="U10" s="237"/>
      <c r="V10" s="237"/>
      <c r="W10" s="237" t="s">
        <v>28</v>
      </c>
      <c r="X10" s="238"/>
      <c r="Y10" s="239" t="s">
        <v>29</v>
      </c>
      <c r="Z10" s="240"/>
    </row>
    <row r="11" spans="1:26" s="94" customFormat="1" ht="18.75" customHeight="1" thickBot="1" x14ac:dyDescent="0.4">
      <c r="A11" s="242"/>
      <c r="B11" s="152"/>
      <c r="C11" s="129" t="s">
        <v>30</v>
      </c>
      <c r="D11" s="131" t="s">
        <v>31</v>
      </c>
      <c r="E11" s="132" t="s">
        <v>32</v>
      </c>
      <c r="F11" s="132" t="s">
        <v>33</v>
      </c>
      <c r="G11" s="132" t="s">
        <v>34</v>
      </c>
      <c r="H11" s="131" t="s">
        <v>35</v>
      </c>
      <c r="I11" s="132" t="s">
        <v>36</v>
      </c>
      <c r="J11" s="132" t="s">
        <v>37</v>
      </c>
      <c r="K11" s="131" t="s">
        <v>38</v>
      </c>
      <c r="L11" s="132" t="s">
        <v>39</v>
      </c>
      <c r="M11" s="132" t="s">
        <v>40</v>
      </c>
      <c r="N11" s="132" t="s">
        <v>41</v>
      </c>
      <c r="O11" s="131" t="s">
        <v>42</v>
      </c>
      <c r="P11" s="132" t="s">
        <v>43</v>
      </c>
      <c r="Q11" s="132" t="s">
        <v>44</v>
      </c>
      <c r="R11" s="131" t="s">
        <v>45</v>
      </c>
      <c r="S11" s="132">
        <v>1</v>
      </c>
      <c r="T11" s="132">
        <v>2</v>
      </c>
      <c r="U11" s="132">
        <v>3</v>
      </c>
      <c r="V11" s="131" t="s">
        <v>46</v>
      </c>
      <c r="W11" s="132" t="s">
        <v>47</v>
      </c>
      <c r="X11" s="131" t="s">
        <v>48</v>
      </c>
      <c r="Y11" s="132" t="s">
        <v>47</v>
      </c>
      <c r="Z11" s="133" t="s">
        <v>48</v>
      </c>
    </row>
    <row r="12" spans="1:26" s="94" customFormat="1" ht="18.75" customHeight="1" x14ac:dyDescent="0.35">
      <c r="A12" s="130"/>
      <c r="B12" s="110"/>
      <c r="C12" s="127"/>
      <c r="D12" s="128"/>
      <c r="E12" s="129"/>
      <c r="F12" s="129"/>
      <c r="G12" s="129"/>
      <c r="H12" s="128"/>
      <c r="I12" s="129"/>
      <c r="J12" s="129"/>
      <c r="K12" s="128"/>
      <c r="L12" s="129"/>
      <c r="M12" s="129"/>
      <c r="N12" s="129"/>
      <c r="O12" s="128"/>
      <c r="P12" s="129"/>
      <c r="Q12" s="129"/>
      <c r="R12" s="128"/>
      <c r="S12" s="129"/>
      <c r="T12" s="129"/>
      <c r="U12" s="129"/>
      <c r="V12" s="128"/>
      <c r="W12" s="129"/>
      <c r="X12" s="128"/>
      <c r="Y12" s="129"/>
      <c r="Z12" s="128"/>
    </row>
    <row r="13" spans="1:26" s="93" customFormat="1" ht="21" customHeight="1" x14ac:dyDescent="0.35">
      <c r="A13" s="134" t="s">
        <v>49</v>
      </c>
      <c r="B13" s="146">
        <v>1212</v>
      </c>
      <c r="C13" s="135">
        <v>0</v>
      </c>
      <c r="D13" s="136">
        <v>0</v>
      </c>
      <c r="E13" s="135">
        <v>0</v>
      </c>
      <c r="F13" s="135">
        <v>0</v>
      </c>
      <c r="G13" s="135">
        <v>0</v>
      </c>
      <c r="H13" s="136">
        <v>0</v>
      </c>
      <c r="I13" s="135">
        <v>0</v>
      </c>
      <c r="J13" s="135">
        <v>0</v>
      </c>
      <c r="K13" s="136">
        <v>0</v>
      </c>
      <c r="L13" s="135">
        <v>0</v>
      </c>
      <c r="M13" s="135">
        <v>0</v>
      </c>
      <c r="N13" s="135">
        <v>0</v>
      </c>
      <c r="O13" s="136">
        <v>0</v>
      </c>
      <c r="P13" s="135">
        <v>0</v>
      </c>
      <c r="Q13" s="135">
        <v>0</v>
      </c>
      <c r="R13" s="136">
        <v>0</v>
      </c>
      <c r="S13" s="135">
        <v>0</v>
      </c>
      <c r="T13" s="135">
        <v>0</v>
      </c>
      <c r="U13" s="135">
        <v>0</v>
      </c>
      <c r="V13" s="136">
        <v>0</v>
      </c>
      <c r="W13" s="135">
        <v>0</v>
      </c>
      <c r="X13" s="136">
        <v>0</v>
      </c>
      <c r="Y13" s="135">
        <v>0</v>
      </c>
      <c r="Z13" s="137">
        <v>0</v>
      </c>
    </row>
    <row r="14" spans="1:26" s="87" customFormat="1" ht="24" customHeight="1" x14ac:dyDescent="0.35">
      <c r="A14" s="112" t="s">
        <v>50</v>
      </c>
      <c r="B14" s="146">
        <v>1062</v>
      </c>
      <c r="C14" s="88">
        <v>11722</v>
      </c>
      <c r="D14" s="113">
        <v>14579</v>
      </c>
      <c r="E14" s="88">
        <v>4121</v>
      </c>
      <c r="F14" s="88">
        <v>7939</v>
      </c>
      <c r="G14" s="88">
        <v>6541</v>
      </c>
      <c r="H14" s="113">
        <v>7814</v>
      </c>
      <c r="I14" s="88">
        <v>4942</v>
      </c>
      <c r="J14" s="88">
        <v>10167</v>
      </c>
      <c r="K14" s="113">
        <v>5859</v>
      </c>
      <c r="L14" s="88">
        <v>2922</v>
      </c>
      <c r="M14" s="88">
        <v>12891</v>
      </c>
      <c r="N14" s="88">
        <v>2933</v>
      </c>
      <c r="O14" s="113">
        <v>7076</v>
      </c>
      <c r="P14" s="88">
        <v>9810</v>
      </c>
      <c r="Q14" s="88">
        <v>9700</v>
      </c>
      <c r="R14" s="113">
        <v>6698</v>
      </c>
      <c r="S14" s="88">
        <v>5934</v>
      </c>
      <c r="T14" s="88">
        <v>9829</v>
      </c>
      <c r="U14" s="88">
        <v>3817</v>
      </c>
      <c r="V14" s="113">
        <v>6769</v>
      </c>
      <c r="W14" s="88">
        <v>11722</v>
      </c>
      <c r="X14" s="113">
        <v>14579</v>
      </c>
      <c r="Y14" s="88">
        <v>11722</v>
      </c>
      <c r="Z14" s="114">
        <v>14579</v>
      </c>
    </row>
    <row r="15" spans="1:26" s="93" customFormat="1" ht="21" customHeight="1" thickBot="1" x14ac:dyDescent="0.4">
      <c r="A15" s="138"/>
      <c r="B15" s="4"/>
      <c r="C15" s="139"/>
      <c r="D15" s="136"/>
      <c r="E15" s="135"/>
      <c r="F15" s="135"/>
      <c r="G15" s="135"/>
      <c r="H15" s="136"/>
      <c r="I15" s="135"/>
      <c r="J15" s="135"/>
      <c r="K15" s="136"/>
      <c r="L15" s="135"/>
      <c r="M15" s="135"/>
      <c r="N15" s="135"/>
      <c r="O15" s="136"/>
      <c r="P15" s="135"/>
      <c r="Q15" s="135"/>
      <c r="R15" s="136"/>
      <c r="S15" s="135"/>
      <c r="T15" s="135"/>
      <c r="U15" s="135"/>
      <c r="V15" s="136"/>
      <c r="W15" s="135"/>
      <c r="X15" s="136"/>
      <c r="Y15" s="135"/>
      <c r="Z15" s="136"/>
    </row>
    <row r="16" spans="1:26" s="87" customFormat="1" ht="24" customHeight="1" thickBot="1" x14ac:dyDescent="0.4">
      <c r="A16" s="243" t="s">
        <v>96</v>
      </c>
      <c r="B16" s="147">
        <v>23</v>
      </c>
      <c r="C16" s="87">
        <v>23</v>
      </c>
      <c r="D16" s="116">
        <v>23</v>
      </c>
      <c r="E16" s="117">
        <v>23</v>
      </c>
      <c r="F16" s="117">
        <v>23</v>
      </c>
      <c r="G16" s="117">
        <v>23</v>
      </c>
      <c r="H16" s="116">
        <v>23</v>
      </c>
      <c r="I16" s="117">
        <v>23</v>
      </c>
      <c r="J16" s="117">
        <v>23</v>
      </c>
      <c r="K16" s="116">
        <v>23</v>
      </c>
      <c r="L16" s="117">
        <v>23</v>
      </c>
      <c r="M16" s="117">
        <v>23</v>
      </c>
      <c r="N16" s="117">
        <v>23</v>
      </c>
      <c r="O16" s="116">
        <v>23</v>
      </c>
      <c r="P16" s="117">
        <v>23</v>
      </c>
      <c r="Q16" s="117">
        <v>23</v>
      </c>
      <c r="R16" s="116">
        <v>23</v>
      </c>
      <c r="S16" s="117">
        <v>23</v>
      </c>
      <c r="T16" s="117">
        <v>23</v>
      </c>
      <c r="U16" s="117">
        <v>23</v>
      </c>
      <c r="V16" s="116">
        <v>23</v>
      </c>
      <c r="W16" s="117">
        <v>23</v>
      </c>
      <c r="X16" s="116">
        <v>23</v>
      </c>
      <c r="Y16" s="117">
        <v>23</v>
      </c>
      <c r="Z16" s="118">
        <v>23</v>
      </c>
    </row>
    <row r="17" spans="1:26" s="93" customFormat="1" ht="21" customHeight="1" x14ac:dyDescent="0.35">
      <c r="A17" s="244"/>
      <c r="B17" s="148">
        <v>0.02</v>
      </c>
      <c r="C17" s="140">
        <v>0</v>
      </c>
      <c r="D17" s="141">
        <v>0</v>
      </c>
      <c r="E17" s="140">
        <v>0</v>
      </c>
      <c r="F17" s="140">
        <v>0</v>
      </c>
      <c r="G17" s="140">
        <v>0</v>
      </c>
      <c r="H17" s="141">
        <v>0</v>
      </c>
      <c r="I17" s="140">
        <v>0</v>
      </c>
      <c r="J17" s="140">
        <v>0</v>
      </c>
      <c r="K17" s="141">
        <v>0</v>
      </c>
      <c r="L17" s="140">
        <v>0</v>
      </c>
      <c r="M17" s="140">
        <v>0</v>
      </c>
      <c r="N17" s="140">
        <v>0</v>
      </c>
      <c r="O17" s="141">
        <v>0</v>
      </c>
      <c r="P17" s="140">
        <v>0</v>
      </c>
      <c r="Q17" s="140">
        <v>0</v>
      </c>
      <c r="R17" s="141">
        <v>0</v>
      </c>
      <c r="S17" s="140">
        <v>0</v>
      </c>
      <c r="T17" s="140">
        <v>0</v>
      </c>
      <c r="U17" s="140">
        <v>0</v>
      </c>
      <c r="V17" s="141">
        <v>0</v>
      </c>
      <c r="W17" s="140">
        <v>0</v>
      </c>
      <c r="X17" s="141">
        <v>0</v>
      </c>
      <c r="Y17" s="140">
        <v>0</v>
      </c>
      <c r="Z17" s="142">
        <v>0</v>
      </c>
    </row>
    <row r="18" spans="1:26" s="87" customFormat="1" ht="24" customHeight="1" x14ac:dyDescent="0.35">
      <c r="A18" s="235" t="s">
        <v>97</v>
      </c>
      <c r="B18" s="146">
        <v>24</v>
      </c>
      <c r="C18" s="87">
        <v>24</v>
      </c>
      <c r="D18" s="120">
        <v>24</v>
      </c>
      <c r="E18" s="87">
        <v>24</v>
      </c>
      <c r="F18" s="87">
        <v>24</v>
      </c>
      <c r="G18" s="87">
        <v>24</v>
      </c>
      <c r="H18" s="120">
        <v>24</v>
      </c>
      <c r="I18" s="87">
        <v>24</v>
      </c>
      <c r="J18" s="87">
        <v>24</v>
      </c>
      <c r="K18" s="120">
        <v>24</v>
      </c>
      <c r="L18" s="87">
        <v>24</v>
      </c>
      <c r="M18" s="87">
        <v>24</v>
      </c>
      <c r="N18" s="87">
        <v>24</v>
      </c>
      <c r="O18" s="120">
        <v>24</v>
      </c>
      <c r="P18" s="87">
        <v>24</v>
      </c>
      <c r="Q18" s="87">
        <v>24</v>
      </c>
      <c r="R18" s="120">
        <v>24</v>
      </c>
      <c r="S18" s="87">
        <v>24</v>
      </c>
      <c r="T18" s="87">
        <v>24</v>
      </c>
      <c r="U18" s="87">
        <v>24</v>
      </c>
      <c r="V18" s="120">
        <v>24</v>
      </c>
      <c r="W18" s="87">
        <v>24</v>
      </c>
      <c r="X18" s="120">
        <v>24</v>
      </c>
      <c r="Y18" s="87">
        <v>24</v>
      </c>
      <c r="Z18" s="121">
        <v>24</v>
      </c>
    </row>
    <row r="19" spans="1:26" s="93" customFormat="1" ht="21" customHeight="1" x14ac:dyDescent="0.35">
      <c r="A19" s="236"/>
      <c r="B19" s="148">
        <v>0.02</v>
      </c>
      <c r="C19" s="140">
        <v>0</v>
      </c>
      <c r="D19" s="141">
        <v>0</v>
      </c>
      <c r="E19" s="140">
        <v>0</v>
      </c>
      <c r="F19" s="140">
        <v>0</v>
      </c>
      <c r="G19" s="140">
        <v>0</v>
      </c>
      <c r="H19" s="141">
        <v>0</v>
      </c>
      <c r="I19" s="140">
        <v>0</v>
      </c>
      <c r="J19" s="140">
        <v>0</v>
      </c>
      <c r="K19" s="141">
        <v>0</v>
      </c>
      <c r="L19" s="140">
        <v>0</v>
      </c>
      <c r="M19" s="140">
        <v>0</v>
      </c>
      <c r="N19" s="140">
        <v>0</v>
      </c>
      <c r="O19" s="141">
        <v>0</v>
      </c>
      <c r="P19" s="140">
        <v>0</v>
      </c>
      <c r="Q19" s="140">
        <v>0</v>
      </c>
      <c r="R19" s="141">
        <v>0</v>
      </c>
      <c r="S19" s="140">
        <v>0</v>
      </c>
      <c r="T19" s="140">
        <v>0</v>
      </c>
      <c r="U19" s="140">
        <v>0</v>
      </c>
      <c r="V19" s="141">
        <v>0</v>
      </c>
      <c r="W19" s="140">
        <v>0</v>
      </c>
      <c r="X19" s="141">
        <v>0</v>
      </c>
      <c r="Y19" s="140">
        <v>0</v>
      </c>
      <c r="Z19" s="142">
        <v>0</v>
      </c>
    </row>
    <row r="20" spans="1:26" s="87" customFormat="1" ht="24" customHeight="1" x14ac:dyDescent="0.35">
      <c r="A20" s="235" t="s">
        <v>98</v>
      </c>
      <c r="B20" s="146">
        <v>70</v>
      </c>
      <c r="C20" s="87">
        <v>70</v>
      </c>
      <c r="D20" s="120">
        <v>70</v>
      </c>
      <c r="E20" s="87">
        <v>70</v>
      </c>
      <c r="F20" s="87">
        <v>70</v>
      </c>
      <c r="G20" s="87">
        <v>70</v>
      </c>
      <c r="H20" s="120">
        <v>70</v>
      </c>
      <c r="I20" s="87">
        <v>70</v>
      </c>
      <c r="J20" s="87">
        <v>70</v>
      </c>
      <c r="K20" s="120">
        <v>70</v>
      </c>
      <c r="L20" s="87">
        <v>70</v>
      </c>
      <c r="M20" s="87">
        <v>70</v>
      </c>
      <c r="N20" s="87">
        <v>70</v>
      </c>
      <c r="O20" s="120">
        <v>70</v>
      </c>
      <c r="P20" s="87">
        <v>70</v>
      </c>
      <c r="Q20" s="87">
        <v>70</v>
      </c>
      <c r="R20" s="120">
        <v>70</v>
      </c>
      <c r="S20" s="87">
        <v>70</v>
      </c>
      <c r="T20" s="87">
        <v>70</v>
      </c>
      <c r="U20" s="87">
        <v>70</v>
      </c>
      <c r="V20" s="120">
        <v>70</v>
      </c>
      <c r="W20" s="87">
        <v>70</v>
      </c>
      <c r="X20" s="120">
        <v>70</v>
      </c>
      <c r="Y20" s="87">
        <v>70</v>
      </c>
      <c r="Z20" s="121">
        <v>70</v>
      </c>
    </row>
    <row r="21" spans="1:26" s="93" customFormat="1" ht="21" customHeight="1" x14ac:dyDescent="0.35">
      <c r="A21" s="236"/>
      <c r="B21" s="148">
        <v>7.0000000000000007E-2</v>
      </c>
      <c r="C21" s="140">
        <v>0</v>
      </c>
      <c r="D21" s="141">
        <v>0</v>
      </c>
      <c r="E21" s="140">
        <v>0</v>
      </c>
      <c r="F21" s="140">
        <v>0</v>
      </c>
      <c r="G21" s="140">
        <v>0</v>
      </c>
      <c r="H21" s="141">
        <v>0</v>
      </c>
      <c r="I21" s="140">
        <v>0</v>
      </c>
      <c r="J21" s="140">
        <v>0</v>
      </c>
      <c r="K21" s="141">
        <v>0</v>
      </c>
      <c r="L21" s="140">
        <v>0</v>
      </c>
      <c r="M21" s="140">
        <v>0</v>
      </c>
      <c r="N21" s="140">
        <v>0</v>
      </c>
      <c r="O21" s="141">
        <v>0</v>
      </c>
      <c r="P21" s="140">
        <v>0</v>
      </c>
      <c r="Q21" s="140">
        <v>0</v>
      </c>
      <c r="R21" s="141">
        <v>0</v>
      </c>
      <c r="S21" s="140">
        <v>0</v>
      </c>
      <c r="T21" s="140">
        <v>0</v>
      </c>
      <c r="U21" s="140">
        <v>0</v>
      </c>
      <c r="V21" s="141">
        <v>0</v>
      </c>
      <c r="W21" s="140">
        <v>0</v>
      </c>
      <c r="X21" s="141">
        <v>0</v>
      </c>
      <c r="Y21" s="140">
        <v>0</v>
      </c>
      <c r="Z21" s="142">
        <v>0</v>
      </c>
    </row>
    <row r="22" spans="1:26" s="87" customFormat="1" ht="24" customHeight="1" x14ac:dyDescent="0.35">
      <c r="A22" s="235" t="s">
        <v>99</v>
      </c>
      <c r="B22" s="146">
        <v>15</v>
      </c>
      <c r="C22" s="87">
        <v>15</v>
      </c>
      <c r="D22" s="120">
        <v>15</v>
      </c>
      <c r="E22" s="87">
        <v>15</v>
      </c>
      <c r="F22" s="87">
        <v>15</v>
      </c>
      <c r="G22" s="87">
        <v>15</v>
      </c>
      <c r="H22" s="120">
        <v>15</v>
      </c>
      <c r="I22" s="87">
        <v>15</v>
      </c>
      <c r="J22" s="87">
        <v>15</v>
      </c>
      <c r="K22" s="120">
        <v>15</v>
      </c>
      <c r="L22" s="87">
        <v>15</v>
      </c>
      <c r="M22" s="87">
        <v>15</v>
      </c>
      <c r="N22" s="87">
        <v>15</v>
      </c>
      <c r="O22" s="120">
        <v>15</v>
      </c>
      <c r="P22" s="87">
        <v>15</v>
      </c>
      <c r="Q22" s="87">
        <v>15</v>
      </c>
      <c r="R22" s="120">
        <v>15</v>
      </c>
      <c r="S22" s="87">
        <v>15</v>
      </c>
      <c r="T22" s="87">
        <v>15</v>
      </c>
      <c r="U22" s="87">
        <v>15</v>
      </c>
      <c r="V22" s="120">
        <v>15</v>
      </c>
      <c r="W22" s="87">
        <v>15</v>
      </c>
      <c r="X22" s="120">
        <v>15</v>
      </c>
      <c r="Y22" s="87">
        <v>15</v>
      </c>
      <c r="Z22" s="121">
        <v>15</v>
      </c>
    </row>
    <row r="23" spans="1:26" s="93" customFormat="1" ht="21" customHeight="1" x14ac:dyDescent="0.35">
      <c r="A23" s="236"/>
      <c r="B23" s="148">
        <v>0.01</v>
      </c>
      <c r="C23" s="140">
        <v>0</v>
      </c>
      <c r="D23" s="141">
        <v>0</v>
      </c>
      <c r="E23" s="140">
        <v>0</v>
      </c>
      <c r="F23" s="140">
        <v>0</v>
      </c>
      <c r="G23" s="140">
        <v>0</v>
      </c>
      <c r="H23" s="141">
        <v>0</v>
      </c>
      <c r="I23" s="140">
        <v>0</v>
      </c>
      <c r="J23" s="140">
        <v>0</v>
      </c>
      <c r="K23" s="141">
        <v>0</v>
      </c>
      <c r="L23" s="140">
        <v>0</v>
      </c>
      <c r="M23" s="140">
        <v>0</v>
      </c>
      <c r="N23" s="140">
        <v>0</v>
      </c>
      <c r="O23" s="141">
        <v>0</v>
      </c>
      <c r="P23" s="140">
        <v>0</v>
      </c>
      <c r="Q23" s="140">
        <v>0</v>
      </c>
      <c r="R23" s="141">
        <v>0</v>
      </c>
      <c r="S23" s="140">
        <v>0</v>
      </c>
      <c r="T23" s="140">
        <v>0</v>
      </c>
      <c r="U23" s="140">
        <v>0</v>
      </c>
      <c r="V23" s="141">
        <v>0</v>
      </c>
      <c r="W23" s="140">
        <v>0</v>
      </c>
      <c r="X23" s="141">
        <v>0</v>
      </c>
      <c r="Y23" s="140">
        <v>0</v>
      </c>
      <c r="Z23" s="142">
        <v>0</v>
      </c>
    </row>
    <row r="24" spans="1:26" s="87" customFormat="1" ht="24" customHeight="1" x14ac:dyDescent="0.35">
      <c r="A24" s="235" t="s">
        <v>100</v>
      </c>
      <c r="B24" s="146">
        <v>69</v>
      </c>
      <c r="C24" s="87">
        <v>69</v>
      </c>
      <c r="D24" s="120">
        <v>69</v>
      </c>
      <c r="E24" s="87">
        <v>69</v>
      </c>
      <c r="F24" s="87">
        <v>69</v>
      </c>
      <c r="G24" s="87">
        <v>69</v>
      </c>
      <c r="H24" s="120">
        <v>69</v>
      </c>
      <c r="I24" s="87">
        <v>69</v>
      </c>
      <c r="J24" s="87">
        <v>69</v>
      </c>
      <c r="K24" s="120">
        <v>69</v>
      </c>
      <c r="L24" s="87">
        <v>69</v>
      </c>
      <c r="M24" s="87">
        <v>69</v>
      </c>
      <c r="N24" s="87">
        <v>69</v>
      </c>
      <c r="O24" s="120">
        <v>69</v>
      </c>
      <c r="P24" s="87">
        <v>69</v>
      </c>
      <c r="Q24" s="87">
        <v>69</v>
      </c>
      <c r="R24" s="120">
        <v>69</v>
      </c>
      <c r="S24" s="87">
        <v>69</v>
      </c>
      <c r="T24" s="87">
        <v>69</v>
      </c>
      <c r="U24" s="87">
        <v>69</v>
      </c>
      <c r="V24" s="120">
        <v>69</v>
      </c>
      <c r="W24" s="87">
        <v>69</v>
      </c>
      <c r="X24" s="120">
        <v>69</v>
      </c>
      <c r="Y24" s="87">
        <v>69</v>
      </c>
      <c r="Z24" s="121">
        <v>69</v>
      </c>
    </row>
    <row r="25" spans="1:26" s="93" customFormat="1" ht="21" customHeight="1" x14ac:dyDescent="0.35">
      <c r="A25" s="236"/>
      <c r="B25" s="148">
        <v>7.0000000000000007E-2</v>
      </c>
      <c r="C25" s="140">
        <v>0</v>
      </c>
      <c r="D25" s="141">
        <v>0</v>
      </c>
      <c r="E25" s="140">
        <v>0</v>
      </c>
      <c r="F25" s="140">
        <v>0</v>
      </c>
      <c r="G25" s="140">
        <v>0</v>
      </c>
      <c r="H25" s="141">
        <v>0</v>
      </c>
      <c r="I25" s="140">
        <v>0</v>
      </c>
      <c r="J25" s="140">
        <v>0</v>
      </c>
      <c r="K25" s="141">
        <v>0</v>
      </c>
      <c r="L25" s="140">
        <v>0</v>
      </c>
      <c r="M25" s="140">
        <v>0</v>
      </c>
      <c r="N25" s="140">
        <v>0</v>
      </c>
      <c r="O25" s="141">
        <v>0</v>
      </c>
      <c r="P25" s="140">
        <v>0</v>
      </c>
      <c r="Q25" s="140">
        <v>0</v>
      </c>
      <c r="R25" s="141">
        <v>0</v>
      </c>
      <c r="S25" s="140">
        <v>0</v>
      </c>
      <c r="T25" s="140">
        <v>0</v>
      </c>
      <c r="U25" s="140">
        <v>0</v>
      </c>
      <c r="V25" s="141">
        <v>0</v>
      </c>
      <c r="W25" s="140">
        <v>0</v>
      </c>
      <c r="X25" s="141">
        <v>0</v>
      </c>
      <c r="Y25" s="140">
        <v>0</v>
      </c>
      <c r="Z25" s="142">
        <v>0</v>
      </c>
    </row>
    <row r="26" spans="1:26" s="87" customFormat="1" ht="24" customHeight="1" x14ac:dyDescent="0.35">
      <c r="A26" s="235" t="s">
        <v>101</v>
      </c>
      <c r="B26" s="146">
        <v>14</v>
      </c>
      <c r="C26" s="87">
        <v>14</v>
      </c>
      <c r="D26" s="120">
        <v>14</v>
      </c>
      <c r="E26" s="87">
        <v>14</v>
      </c>
      <c r="F26" s="87">
        <v>14</v>
      </c>
      <c r="G26" s="87">
        <v>14</v>
      </c>
      <c r="H26" s="120">
        <v>14</v>
      </c>
      <c r="I26" s="87">
        <v>14</v>
      </c>
      <c r="J26" s="87">
        <v>14</v>
      </c>
      <c r="K26" s="120">
        <v>14</v>
      </c>
      <c r="L26" s="87">
        <v>14</v>
      </c>
      <c r="M26" s="87">
        <v>14</v>
      </c>
      <c r="N26" s="87">
        <v>14</v>
      </c>
      <c r="O26" s="120">
        <v>14</v>
      </c>
      <c r="P26" s="87">
        <v>14</v>
      </c>
      <c r="Q26" s="87">
        <v>14</v>
      </c>
      <c r="R26" s="120">
        <v>14</v>
      </c>
      <c r="S26" s="87">
        <v>14</v>
      </c>
      <c r="T26" s="87">
        <v>14</v>
      </c>
      <c r="U26" s="87">
        <v>14</v>
      </c>
      <c r="V26" s="120">
        <v>14</v>
      </c>
      <c r="W26" s="87">
        <v>14</v>
      </c>
      <c r="X26" s="120">
        <v>14</v>
      </c>
      <c r="Y26" s="87">
        <v>14</v>
      </c>
      <c r="Z26" s="121">
        <v>14</v>
      </c>
    </row>
    <row r="27" spans="1:26" ht="24" customHeight="1" x14ac:dyDescent="0.4">
      <c r="A27" s="246"/>
      <c r="B27" s="159">
        <v>0.01</v>
      </c>
      <c r="C27" s="125">
        <v>0</v>
      </c>
      <c r="D27" s="160">
        <v>0</v>
      </c>
      <c r="E27" s="125">
        <v>0</v>
      </c>
      <c r="F27" s="125">
        <v>0</v>
      </c>
      <c r="G27" s="125">
        <v>0</v>
      </c>
      <c r="H27" s="160">
        <v>0</v>
      </c>
      <c r="I27" s="125">
        <v>0</v>
      </c>
      <c r="J27" s="125">
        <v>0</v>
      </c>
      <c r="K27" s="160">
        <v>0</v>
      </c>
      <c r="L27" s="125">
        <v>0</v>
      </c>
      <c r="M27" s="125">
        <v>0</v>
      </c>
      <c r="N27" s="125">
        <v>0</v>
      </c>
      <c r="O27" s="160">
        <v>0</v>
      </c>
      <c r="P27" s="125">
        <v>0</v>
      </c>
      <c r="Q27" s="125">
        <v>0</v>
      </c>
      <c r="R27" s="160">
        <v>0</v>
      </c>
      <c r="S27" s="125">
        <v>0</v>
      </c>
      <c r="T27" s="125">
        <v>0</v>
      </c>
      <c r="U27" s="125">
        <v>0</v>
      </c>
      <c r="V27" s="160">
        <v>0</v>
      </c>
      <c r="W27" s="125">
        <v>0</v>
      </c>
      <c r="X27" s="160">
        <v>0</v>
      </c>
      <c r="Y27" s="125">
        <v>0</v>
      </c>
      <c r="Z27" s="161">
        <v>0</v>
      </c>
    </row>
    <row r="28" spans="1:26" ht="20.25" customHeight="1" x14ac:dyDescent="0.4">
      <c r="A28" s="246" t="s">
        <v>102</v>
      </c>
      <c r="B28" s="154">
        <v>96</v>
      </c>
      <c r="C28" s="155">
        <v>96</v>
      </c>
      <c r="D28" s="156">
        <v>96</v>
      </c>
      <c r="E28" s="155">
        <v>96</v>
      </c>
      <c r="F28" s="155">
        <v>96</v>
      </c>
      <c r="G28" s="155">
        <v>96</v>
      </c>
      <c r="H28" s="156">
        <v>96</v>
      </c>
      <c r="I28" s="155">
        <v>96</v>
      </c>
      <c r="J28" s="155">
        <v>96</v>
      </c>
      <c r="K28" s="156">
        <v>96</v>
      </c>
      <c r="L28" s="155">
        <v>96</v>
      </c>
      <c r="M28" s="155">
        <v>96</v>
      </c>
      <c r="N28" s="155">
        <v>96</v>
      </c>
      <c r="O28" s="156">
        <v>96</v>
      </c>
      <c r="P28" s="155">
        <v>96</v>
      </c>
      <c r="Q28" s="155">
        <v>96</v>
      </c>
      <c r="R28" s="156">
        <v>96</v>
      </c>
      <c r="S28" s="155">
        <v>96</v>
      </c>
      <c r="T28" s="155">
        <v>96</v>
      </c>
      <c r="U28" s="155">
        <v>96</v>
      </c>
      <c r="V28" s="156">
        <v>96</v>
      </c>
      <c r="W28" s="155">
        <v>96</v>
      </c>
      <c r="X28" s="156">
        <v>96</v>
      </c>
      <c r="Y28" s="155">
        <v>96</v>
      </c>
      <c r="Z28" s="157">
        <v>96</v>
      </c>
    </row>
    <row r="29" spans="1:26" ht="24" customHeight="1" x14ac:dyDescent="0.4">
      <c r="A29" s="246"/>
      <c r="B29" s="162">
        <v>0.09</v>
      </c>
      <c r="C29" s="125">
        <v>0</v>
      </c>
      <c r="D29" s="160">
        <v>0</v>
      </c>
      <c r="E29" s="125">
        <v>0</v>
      </c>
      <c r="F29" s="125">
        <v>0</v>
      </c>
      <c r="G29" s="125">
        <v>0</v>
      </c>
      <c r="H29" s="160">
        <v>0</v>
      </c>
      <c r="I29" s="125">
        <v>0</v>
      </c>
      <c r="J29" s="125">
        <v>0</v>
      </c>
      <c r="K29" s="160">
        <v>0</v>
      </c>
      <c r="L29" s="125">
        <v>0</v>
      </c>
      <c r="M29" s="125">
        <v>0</v>
      </c>
      <c r="N29" s="125">
        <v>0</v>
      </c>
      <c r="O29" s="160">
        <v>0</v>
      </c>
      <c r="P29" s="125">
        <v>0</v>
      </c>
      <c r="Q29" s="125">
        <v>0</v>
      </c>
      <c r="R29" s="160">
        <v>0</v>
      </c>
      <c r="S29" s="125">
        <v>0</v>
      </c>
      <c r="T29" s="125">
        <v>0</v>
      </c>
      <c r="U29" s="125">
        <v>0</v>
      </c>
      <c r="V29" s="160">
        <v>0</v>
      </c>
      <c r="W29" s="125">
        <v>0</v>
      </c>
      <c r="X29" s="160">
        <v>0</v>
      </c>
      <c r="Y29" s="125">
        <v>0</v>
      </c>
      <c r="Z29" s="161">
        <v>0</v>
      </c>
    </row>
    <row r="30" spans="1:26" ht="20.25" customHeight="1" x14ac:dyDescent="0.4">
      <c r="A30" s="246" t="s">
        <v>103</v>
      </c>
      <c r="B30" s="154">
        <v>12</v>
      </c>
      <c r="C30" s="155">
        <v>12</v>
      </c>
      <c r="D30" s="156">
        <v>12</v>
      </c>
      <c r="E30" s="155">
        <v>12</v>
      </c>
      <c r="F30" s="155">
        <v>12</v>
      </c>
      <c r="G30" s="155">
        <v>12</v>
      </c>
      <c r="H30" s="156">
        <v>12</v>
      </c>
      <c r="I30" s="155">
        <v>12</v>
      </c>
      <c r="J30" s="155">
        <v>12</v>
      </c>
      <c r="K30" s="156">
        <v>12</v>
      </c>
      <c r="L30" s="155">
        <v>12</v>
      </c>
      <c r="M30" s="155">
        <v>12</v>
      </c>
      <c r="N30" s="155">
        <v>12</v>
      </c>
      <c r="O30" s="156">
        <v>12</v>
      </c>
      <c r="P30" s="155">
        <v>12</v>
      </c>
      <c r="Q30" s="155">
        <v>12</v>
      </c>
      <c r="R30" s="156">
        <v>12</v>
      </c>
      <c r="S30" s="155">
        <v>12</v>
      </c>
      <c r="T30" s="155">
        <v>12</v>
      </c>
      <c r="U30" s="155">
        <v>12</v>
      </c>
      <c r="V30" s="156">
        <v>12</v>
      </c>
      <c r="W30" s="155">
        <v>12</v>
      </c>
      <c r="X30" s="156">
        <v>12</v>
      </c>
      <c r="Y30" s="155">
        <v>12</v>
      </c>
      <c r="Z30" s="157">
        <v>12</v>
      </c>
    </row>
    <row r="31" spans="1:26" ht="24" customHeight="1" x14ac:dyDescent="0.4">
      <c r="A31" s="246"/>
      <c r="B31" s="159">
        <v>0.01</v>
      </c>
      <c r="C31" s="125">
        <v>0</v>
      </c>
      <c r="D31" s="160">
        <v>0</v>
      </c>
      <c r="E31" s="125">
        <v>0</v>
      </c>
      <c r="F31" s="125">
        <v>0</v>
      </c>
      <c r="G31" s="125">
        <v>0</v>
      </c>
      <c r="H31" s="160">
        <v>0</v>
      </c>
      <c r="I31" s="125">
        <v>0</v>
      </c>
      <c r="J31" s="125">
        <v>0</v>
      </c>
      <c r="K31" s="160">
        <v>0</v>
      </c>
      <c r="L31" s="125">
        <v>0</v>
      </c>
      <c r="M31" s="125">
        <v>0</v>
      </c>
      <c r="N31" s="125">
        <v>0</v>
      </c>
      <c r="O31" s="160">
        <v>0</v>
      </c>
      <c r="P31" s="125">
        <v>0</v>
      </c>
      <c r="Q31" s="125">
        <v>0</v>
      </c>
      <c r="R31" s="160">
        <v>0</v>
      </c>
      <c r="S31" s="125">
        <v>0</v>
      </c>
      <c r="T31" s="125">
        <v>0</v>
      </c>
      <c r="U31" s="125">
        <v>0</v>
      </c>
      <c r="V31" s="160">
        <v>0</v>
      </c>
      <c r="W31" s="125">
        <v>0</v>
      </c>
      <c r="X31" s="160">
        <v>0</v>
      </c>
      <c r="Y31" s="125">
        <v>0</v>
      </c>
      <c r="Z31" s="161">
        <v>0</v>
      </c>
    </row>
    <row r="32" spans="1:26" ht="20.25" customHeight="1" x14ac:dyDescent="0.4">
      <c r="A32" s="246" t="s">
        <v>104</v>
      </c>
      <c r="B32" s="154">
        <v>147</v>
      </c>
      <c r="C32" s="155">
        <v>147</v>
      </c>
      <c r="D32" s="156">
        <v>147</v>
      </c>
      <c r="E32" s="155">
        <v>147</v>
      </c>
      <c r="F32" s="155">
        <v>147</v>
      </c>
      <c r="G32" s="155">
        <v>147</v>
      </c>
      <c r="H32" s="156">
        <v>147</v>
      </c>
      <c r="I32" s="155">
        <v>147</v>
      </c>
      <c r="J32" s="155">
        <v>147</v>
      </c>
      <c r="K32" s="156">
        <v>147</v>
      </c>
      <c r="L32" s="155">
        <v>147</v>
      </c>
      <c r="M32" s="155">
        <v>147</v>
      </c>
      <c r="N32" s="155">
        <v>147</v>
      </c>
      <c r="O32" s="156">
        <v>147</v>
      </c>
      <c r="P32" s="155">
        <v>147</v>
      </c>
      <c r="Q32" s="155">
        <v>147</v>
      </c>
      <c r="R32" s="156">
        <v>147</v>
      </c>
      <c r="S32" s="155">
        <v>147</v>
      </c>
      <c r="T32" s="155">
        <v>147</v>
      </c>
      <c r="U32" s="155">
        <v>147</v>
      </c>
      <c r="V32" s="156">
        <v>147</v>
      </c>
      <c r="W32" s="155">
        <v>147</v>
      </c>
      <c r="X32" s="156">
        <v>147</v>
      </c>
      <c r="Y32" s="155">
        <v>147</v>
      </c>
      <c r="Z32" s="157">
        <v>147</v>
      </c>
    </row>
    <row r="33" spans="1:26" ht="24" customHeight="1" x14ac:dyDescent="0.4">
      <c r="A33" s="246"/>
      <c r="B33" s="159">
        <v>0.14000000000000001</v>
      </c>
      <c r="C33" s="125">
        <v>0</v>
      </c>
      <c r="D33" s="160">
        <v>0</v>
      </c>
      <c r="E33" s="125">
        <v>0</v>
      </c>
      <c r="F33" s="125">
        <v>0</v>
      </c>
      <c r="G33" s="125">
        <v>0</v>
      </c>
      <c r="H33" s="160">
        <v>0</v>
      </c>
      <c r="I33" s="125">
        <v>0</v>
      </c>
      <c r="J33" s="125">
        <v>0</v>
      </c>
      <c r="K33" s="160">
        <v>0</v>
      </c>
      <c r="L33" s="125">
        <v>0</v>
      </c>
      <c r="M33" s="125">
        <v>0</v>
      </c>
      <c r="N33" s="125">
        <v>0</v>
      </c>
      <c r="O33" s="160">
        <v>0</v>
      </c>
      <c r="P33" s="125">
        <v>0</v>
      </c>
      <c r="Q33" s="125">
        <v>0</v>
      </c>
      <c r="R33" s="160">
        <v>0</v>
      </c>
      <c r="S33" s="125">
        <v>0</v>
      </c>
      <c r="T33" s="125">
        <v>0</v>
      </c>
      <c r="U33" s="125">
        <v>0</v>
      </c>
      <c r="V33" s="160">
        <v>0</v>
      </c>
      <c r="W33" s="125">
        <v>0</v>
      </c>
      <c r="X33" s="160">
        <v>0</v>
      </c>
      <c r="Y33" s="125">
        <v>0</v>
      </c>
      <c r="Z33" s="161">
        <v>0</v>
      </c>
    </row>
    <row r="34" spans="1:26" ht="20.25" customHeight="1" x14ac:dyDescent="0.4">
      <c r="A34" s="246" t="s">
        <v>105</v>
      </c>
      <c r="B34" s="154">
        <v>7</v>
      </c>
      <c r="C34" s="155">
        <v>7</v>
      </c>
      <c r="D34" s="156">
        <v>7</v>
      </c>
      <c r="E34" s="155">
        <v>7</v>
      </c>
      <c r="F34" s="155">
        <v>7</v>
      </c>
      <c r="G34" s="155">
        <v>7</v>
      </c>
      <c r="H34" s="156">
        <v>7</v>
      </c>
      <c r="I34" s="155">
        <v>7</v>
      </c>
      <c r="J34" s="155">
        <v>7</v>
      </c>
      <c r="K34" s="156">
        <v>7</v>
      </c>
      <c r="L34" s="155">
        <v>7</v>
      </c>
      <c r="M34" s="155">
        <v>7</v>
      </c>
      <c r="N34" s="155">
        <v>7</v>
      </c>
      <c r="O34" s="156">
        <v>7</v>
      </c>
      <c r="P34" s="155">
        <v>7</v>
      </c>
      <c r="Q34" s="155">
        <v>7</v>
      </c>
      <c r="R34" s="156">
        <v>7</v>
      </c>
      <c r="S34" s="155">
        <v>7</v>
      </c>
      <c r="T34" s="155">
        <v>7</v>
      </c>
      <c r="U34" s="155">
        <v>7</v>
      </c>
      <c r="V34" s="156">
        <v>7</v>
      </c>
      <c r="W34" s="155">
        <v>7</v>
      </c>
      <c r="X34" s="156">
        <v>7</v>
      </c>
      <c r="Y34" s="155">
        <v>7</v>
      </c>
      <c r="Z34" s="157">
        <v>7</v>
      </c>
    </row>
    <row r="35" spans="1:26" ht="24" customHeight="1" x14ac:dyDescent="0.4">
      <c r="A35" s="246"/>
      <c r="B35" s="159">
        <v>0.01</v>
      </c>
      <c r="C35" s="125">
        <v>0</v>
      </c>
      <c r="D35" s="160">
        <v>0</v>
      </c>
      <c r="E35" s="125">
        <v>0</v>
      </c>
      <c r="F35" s="125">
        <v>0</v>
      </c>
      <c r="G35" s="125">
        <v>0</v>
      </c>
      <c r="H35" s="160">
        <v>0</v>
      </c>
      <c r="I35" s="125">
        <v>0</v>
      </c>
      <c r="J35" s="125">
        <v>0</v>
      </c>
      <c r="K35" s="160">
        <v>0</v>
      </c>
      <c r="L35" s="125">
        <v>0</v>
      </c>
      <c r="M35" s="125">
        <v>0</v>
      </c>
      <c r="N35" s="125">
        <v>0</v>
      </c>
      <c r="O35" s="160">
        <v>0</v>
      </c>
      <c r="P35" s="125">
        <v>0</v>
      </c>
      <c r="Q35" s="125">
        <v>0</v>
      </c>
      <c r="R35" s="160">
        <v>0</v>
      </c>
      <c r="S35" s="125">
        <v>0</v>
      </c>
      <c r="T35" s="125">
        <v>0</v>
      </c>
      <c r="U35" s="125">
        <v>0</v>
      </c>
      <c r="V35" s="160">
        <v>0</v>
      </c>
      <c r="W35" s="125">
        <v>0</v>
      </c>
      <c r="X35" s="160">
        <v>0</v>
      </c>
      <c r="Y35" s="125">
        <v>0</v>
      </c>
      <c r="Z35" s="161">
        <v>0</v>
      </c>
    </row>
    <row r="36" spans="1:26" ht="20.25" customHeight="1" x14ac:dyDescent="0.4">
      <c r="A36" s="246" t="s">
        <v>106</v>
      </c>
      <c r="B36" s="154">
        <v>27</v>
      </c>
      <c r="C36" s="155">
        <v>27</v>
      </c>
      <c r="D36" s="156">
        <v>27</v>
      </c>
      <c r="E36" s="155">
        <v>27</v>
      </c>
      <c r="F36" s="155">
        <v>27</v>
      </c>
      <c r="G36" s="155">
        <v>27</v>
      </c>
      <c r="H36" s="156">
        <v>27</v>
      </c>
      <c r="I36" s="155">
        <v>27</v>
      </c>
      <c r="J36" s="155">
        <v>27</v>
      </c>
      <c r="K36" s="156">
        <v>27</v>
      </c>
      <c r="L36" s="155">
        <v>27</v>
      </c>
      <c r="M36" s="155">
        <v>27</v>
      </c>
      <c r="N36" s="155">
        <v>27</v>
      </c>
      <c r="O36" s="156">
        <v>27</v>
      </c>
      <c r="P36" s="155">
        <v>27</v>
      </c>
      <c r="Q36" s="155">
        <v>27</v>
      </c>
      <c r="R36" s="156">
        <v>27</v>
      </c>
      <c r="S36" s="155">
        <v>27</v>
      </c>
      <c r="T36" s="155">
        <v>27</v>
      </c>
      <c r="U36" s="155">
        <v>27</v>
      </c>
      <c r="V36" s="156">
        <v>27</v>
      </c>
      <c r="W36" s="155">
        <v>27</v>
      </c>
      <c r="X36" s="156">
        <v>27</v>
      </c>
      <c r="Y36" s="155">
        <v>27</v>
      </c>
      <c r="Z36" s="157">
        <v>27</v>
      </c>
    </row>
    <row r="37" spans="1:26" ht="24" customHeight="1" x14ac:dyDescent="0.4">
      <c r="A37" s="246"/>
      <c r="B37" s="159">
        <v>0.03</v>
      </c>
      <c r="C37" s="125">
        <v>0</v>
      </c>
      <c r="D37" s="160">
        <v>0</v>
      </c>
      <c r="E37" s="125">
        <v>0</v>
      </c>
      <c r="F37" s="125">
        <v>0</v>
      </c>
      <c r="G37" s="125">
        <v>0</v>
      </c>
      <c r="H37" s="160">
        <v>0</v>
      </c>
      <c r="I37" s="125">
        <v>0</v>
      </c>
      <c r="J37" s="125">
        <v>0</v>
      </c>
      <c r="K37" s="160">
        <v>0</v>
      </c>
      <c r="L37" s="125">
        <v>0</v>
      </c>
      <c r="M37" s="125">
        <v>0</v>
      </c>
      <c r="N37" s="125">
        <v>0</v>
      </c>
      <c r="O37" s="160">
        <v>0</v>
      </c>
      <c r="P37" s="125">
        <v>0</v>
      </c>
      <c r="Q37" s="125">
        <v>0</v>
      </c>
      <c r="R37" s="160">
        <v>0</v>
      </c>
      <c r="S37" s="125">
        <v>0</v>
      </c>
      <c r="T37" s="125">
        <v>0</v>
      </c>
      <c r="U37" s="125">
        <v>0</v>
      </c>
      <c r="V37" s="160">
        <v>0</v>
      </c>
      <c r="W37" s="125">
        <v>0</v>
      </c>
      <c r="X37" s="160">
        <v>0</v>
      </c>
      <c r="Y37" s="125">
        <v>0</v>
      </c>
      <c r="Z37" s="161">
        <v>0</v>
      </c>
    </row>
    <row r="38" spans="1:26" ht="20.25" customHeight="1" x14ac:dyDescent="0.4">
      <c r="A38" s="246" t="s">
        <v>107</v>
      </c>
      <c r="B38" s="154">
        <v>26</v>
      </c>
      <c r="C38" s="155">
        <v>26</v>
      </c>
      <c r="D38" s="156">
        <v>26</v>
      </c>
      <c r="E38" s="155">
        <v>26</v>
      </c>
      <c r="F38" s="155">
        <v>26</v>
      </c>
      <c r="G38" s="155">
        <v>26</v>
      </c>
      <c r="H38" s="156">
        <v>26</v>
      </c>
      <c r="I38" s="155">
        <v>26</v>
      </c>
      <c r="J38" s="155">
        <v>26</v>
      </c>
      <c r="K38" s="156">
        <v>26</v>
      </c>
      <c r="L38" s="155">
        <v>26</v>
      </c>
      <c r="M38" s="155">
        <v>26</v>
      </c>
      <c r="N38" s="155">
        <v>26</v>
      </c>
      <c r="O38" s="156">
        <v>26</v>
      </c>
      <c r="P38" s="155">
        <v>26</v>
      </c>
      <c r="Q38" s="155">
        <v>26</v>
      </c>
      <c r="R38" s="156">
        <v>26</v>
      </c>
      <c r="S38" s="155">
        <v>26</v>
      </c>
      <c r="T38" s="155">
        <v>26</v>
      </c>
      <c r="U38" s="155">
        <v>26</v>
      </c>
      <c r="V38" s="156">
        <v>26</v>
      </c>
      <c r="W38" s="155">
        <v>26</v>
      </c>
      <c r="X38" s="156">
        <v>26</v>
      </c>
      <c r="Y38" s="155">
        <v>26</v>
      </c>
      <c r="Z38" s="157">
        <v>26</v>
      </c>
    </row>
    <row r="39" spans="1:26" ht="24" customHeight="1" x14ac:dyDescent="0.4">
      <c r="A39" s="246"/>
      <c r="B39" s="159">
        <v>0.02</v>
      </c>
      <c r="C39" s="125">
        <v>0</v>
      </c>
      <c r="D39" s="160">
        <v>0</v>
      </c>
      <c r="E39" s="125">
        <v>0</v>
      </c>
      <c r="F39" s="125">
        <v>0</v>
      </c>
      <c r="G39" s="125">
        <v>0</v>
      </c>
      <c r="H39" s="160">
        <v>0</v>
      </c>
      <c r="I39" s="125">
        <v>0</v>
      </c>
      <c r="J39" s="125">
        <v>0</v>
      </c>
      <c r="K39" s="160">
        <v>0</v>
      </c>
      <c r="L39" s="125">
        <v>0</v>
      </c>
      <c r="M39" s="125">
        <v>0</v>
      </c>
      <c r="N39" s="125">
        <v>0</v>
      </c>
      <c r="O39" s="160">
        <v>0</v>
      </c>
      <c r="P39" s="125">
        <v>0</v>
      </c>
      <c r="Q39" s="125">
        <v>0</v>
      </c>
      <c r="R39" s="160">
        <v>0</v>
      </c>
      <c r="S39" s="125">
        <v>0</v>
      </c>
      <c r="T39" s="125">
        <v>0</v>
      </c>
      <c r="U39" s="125">
        <v>0</v>
      </c>
      <c r="V39" s="160">
        <v>0</v>
      </c>
      <c r="W39" s="125">
        <v>0</v>
      </c>
      <c r="X39" s="160">
        <v>0</v>
      </c>
      <c r="Y39" s="125">
        <v>0</v>
      </c>
      <c r="Z39" s="161">
        <v>0</v>
      </c>
    </row>
    <row r="40" spans="1:26" ht="20.25" customHeight="1" x14ac:dyDescent="0.4">
      <c r="A40" s="246" t="s">
        <v>108</v>
      </c>
      <c r="B40" s="154">
        <v>93</v>
      </c>
      <c r="C40" s="155">
        <v>93</v>
      </c>
      <c r="D40" s="156">
        <v>93</v>
      </c>
      <c r="E40" s="155">
        <v>93</v>
      </c>
      <c r="F40" s="155">
        <v>93</v>
      </c>
      <c r="G40" s="155">
        <v>93</v>
      </c>
      <c r="H40" s="156">
        <v>93</v>
      </c>
      <c r="I40" s="155">
        <v>93</v>
      </c>
      <c r="J40" s="155">
        <v>93</v>
      </c>
      <c r="K40" s="156">
        <v>93</v>
      </c>
      <c r="L40" s="155">
        <v>93</v>
      </c>
      <c r="M40" s="155">
        <v>93</v>
      </c>
      <c r="N40" s="155">
        <v>93</v>
      </c>
      <c r="O40" s="156">
        <v>93</v>
      </c>
      <c r="P40" s="155">
        <v>93</v>
      </c>
      <c r="Q40" s="155">
        <v>93</v>
      </c>
      <c r="R40" s="156">
        <v>93</v>
      </c>
      <c r="S40" s="155">
        <v>93</v>
      </c>
      <c r="T40" s="155">
        <v>93</v>
      </c>
      <c r="U40" s="155">
        <v>93</v>
      </c>
      <c r="V40" s="156">
        <v>93</v>
      </c>
      <c r="W40" s="155">
        <v>93</v>
      </c>
      <c r="X40" s="156">
        <v>93</v>
      </c>
      <c r="Y40" s="155">
        <v>93</v>
      </c>
      <c r="Z40" s="157">
        <v>93</v>
      </c>
    </row>
    <row r="41" spans="1:26" ht="24" customHeight="1" x14ac:dyDescent="0.4">
      <c r="A41" s="246"/>
      <c r="B41" s="159">
        <v>0.09</v>
      </c>
      <c r="C41" s="125">
        <v>0</v>
      </c>
      <c r="D41" s="160">
        <v>0</v>
      </c>
      <c r="E41" s="125">
        <v>0</v>
      </c>
      <c r="F41" s="125">
        <v>0</v>
      </c>
      <c r="G41" s="125">
        <v>0</v>
      </c>
      <c r="H41" s="160">
        <v>0</v>
      </c>
      <c r="I41" s="125">
        <v>0</v>
      </c>
      <c r="J41" s="125">
        <v>0</v>
      </c>
      <c r="K41" s="160">
        <v>0</v>
      </c>
      <c r="L41" s="125">
        <v>0</v>
      </c>
      <c r="M41" s="125">
        <v>0</v>
      </c>
      <c r="N41" s="125">
        <v>0</v>
      </c>
      <c r="O41" s="160">
        <v>0</v>
      </c>
      <c r="P41" s="125">
        <v>0</v>
      </c>
      <c r="Q41" s="125">
        <v>0</v>
      </c>
      <c r="R41" s="160">
        <v>0</v>
      </c>
      <c r="S41" s="125">
        <v>0</v>
      </c>
      <c r="T41" s="125">
        <v>0</v>
      </c>
      <c r="U41" s="125">
        <v>0</v>
      </c>
      <c r="V41" s="160">
        <v>0</v>
      </c>
      <c r="W41" s="125">
        <v>0</v>
      </c>
      <c r="X41" s="160">
        <v>0</v>
      </c>
      <c r="Y41" s="125">
        <v>0</v>
      </c>
      <c r="Z41" s="161">
        <v>0</v>
      </c>
    </row>
    <row r="42" spans="1:26" ht="20.25" customHeight="1" x14ac:dyDescent="0.4">
      <c r="A42" s="246" t="s">
        <v>109</v>
      </c>
      <c r="B42" s="154">
        <v>10</v>
      </c>
      <c r="C42" s="155">
        <v>10</v>
      </c>
      <c r="D42" s="156">
        <v>10</v>
      </c>
      <c r="E42" s="155">
        <v>10</v>
      </c>
      <c r="F42" s="155">
        <v>10</v>
      </c>
      <c r="G42" s="155">
        <v>10</v>
      </c>
      <c r="H42" s="156">
        <v>10</v>
      </c>
      <c r="I42" s="155">
        <v>10</v>
      </c>
      <c r="J42" s="155">
        <v>10</v>
      </c>
      <c r="K42" s="156">
        <v>10</v>
      </c>
      <c r="L42" s="155">
        <v>10</v>
      </c>
      <c r="M42" s="155">
        <v>10</v>
      </c>
      <c r="N42" s="155">
        <v>10</v>
      </c>
      <c r="O42" s="156">
        <v>10</v>
      </c>
      <c r="P42" s="155">
        <v>10</v>
      </c>
      <c r="Q42" s="155">
        <v>10</v>
      </c>
      <c r="R42" s="156">
        <v>10</v>
      </c>
      <c r="S42" s="155">
        <v>10</v>
      </c>
      <c r="T42" s="155">
        <v>10</v>
      </c>
      <c r="U42" s="155">
        <v>10</v>
      </c>
      <c r="V42" s="156">
        <v>10</v>
      </c>
      <c r="W42" s="155">
        <v>10</v>
      </c>
      <c r="X42" s="156">
        <v>10</v>
      </c>
      <c r="Y42" s="155">
        <v>10</v>
      </c>
      <c r="Z42" s="157">
        <v>10</v>
      </c>
    </row>
    <row r="43" spans="1:26" ht="24" customHeight="1" x14ac:dyDescent="0.4">
      <c r="A43" s="246"/>
      <c r="B43" s="159">
        <v>0.01</v>
      </c>
      <c r="C43" s="125">
        <v>0</v>
      </c>
      <c r="D43" s="160">
        <v>0</v>
      </c>
      <c r="E43" s="125">
        <v>0</v>
      </c>
      <c r="F43" s="125">
        <v>0</v>
      </c>
      <c r="G43" s="125">
        <v>0</v>
      </c>
      <c r="H43" s="160">
        <v>0</v>
      </c>
      <c r="I43" s="125">
        <v>0</v>
      </c>
      <c r="J43" s="125">
        <v>0</v>
      </c>
      <c r="K43" s="160">
        <v>0</v>
      </c>
      <c r="L43" s="125">
        <v>0</v>
      </c>
      <c r="M43" s="125">
        <v>0</v>
      </c>
      <c r="N43" s="125">
        <v>0</v>
      </c>
      <c r="O43" s="160">
        <v>0</v>
      </c>
      <c r="P43" s="125">
        <v>0</v>
      </c>
      <c r="Q43" s="125">
        <v>0</v>
      </c>
      <c r="R43" s="160">
        <v>0</v>
      </c>
      <c r="S43" s="125">
        <v>0</v>
      </c>
      <c r="T43" s="125">
        <v>0</v>
      </c>
      <c r="U43" s="125">
        <v>0</v>
      </c>
      <c r="V43" s="160">
        <v>0</v>
      </c>
      <c r="W43" s="125">
        <v>0</v>
      </c>
      <c r="X43" s="160">
        <v>0</v>
      </c>
      <c r="Y43" s="125">
        <v>0</v>
      </c>
      <c r="Z43" s="161">
        <v>0</v>
      </c>
    </row>
    <row r="44" spans="1:26" ht="20.25" customHeight="1" x14ac:dyDescent="0.4">
      <c r="A44" s="246" t="s">
        <v>110</v>
      </c>
      <c r="B44" s="154">
        <v>27</v>
      </c>
      <c r="C44" s="155">
        <v>27</v>
      </c>
      <c r="D44" s="156">
        <v>27</v>
      </c>
      <c r="E44" s="155">
        <v>27</v>
      </c>
      <c r="F44" s="155">
        <v>27</v>
      </c>
      <c r="G44" s="155">
        <v>27</v>
      </c>
      <c r="H44" s="156">
        <v>27</v>
      </c>
      <c r="I44" s="155">
        <v>27</v>
      </c>
      <c r="J44" s="155">
        <v>27</v>
      </c>
      <c r="K44" s="156">
        <v>27</v>
      </c>
      <c r="L44" s="155">
        <v>27</v>
      </c>
      <c r="M44" s="155">
        <v>27</v>
      </c>
      <c r="N44" s="155">
        <v>27</v>
      </c>
      <c r="O44" s="156">
        <v>27</v>
      </c>
      <c r="P44" s="155">
        <v>27</v>
      </c>
      <c r="Q44" s="155">
        <v>27</v>
      </c>
      <c r="R44" s="156">
        <v>27</v>
      </c>
      <c r="S44" s="155">
        <v>27</v>
      </c>
      <c r="T44" s="155">
        <v>27</v>
      </c>
      <c r="U44" s="155">
        <v>27</v>
      </c>
      <c r="V44" s="156">
        <v>27</v>
      </c>
      <c r="W44" s="155">
        <v>27</v>
      </c>
      <c r="X44" s="156">
        <v>27</v>
      </c>
      <c r="Y44" s="155">
        <v>27</v>
      </c>
      <c r="Z44" s="157">
        <v>27</v>
      </c>
    </row>
    <row r="45" spans="1:26" ht="24" customHeight="1" x14ac:dyDescent="0.4">
      <c r="A45" s="246"/>
      <c r="B45" s="159">
        <v>0.03</v>
      </c>
      <c r="C45" s="125">
        <v>0</v>
      </c>
      <c r="D45" s="160">
        <v>0</v>
      </c>
      <c r="E45" s="125">
        <v>0</v>
      </c>
      <c r="F45" s="125">
        <v>0</v>
      </c>
      <c r="G45" s="125">
        <v>0</v>
      </c>
      <c r="H45" s="160">
        <v>0</v>
      </c>
      <c r="I45" s="125">
        <v>0</v>
      </c>
      <c r="J45" s="125">
        <v>0</v>
      </c>
      <c r="K45" s="160">
        <v>0</v>
      </c>
      <c r="L45" s="125">
        <v>0</v>
      </c>
      <c r="M45" s="125">
        <v>0</v>
      </c>
      <c r="N45" s="125">
        <v>0</v>
      </c>
      <c r="O45" s="160">
        <v>0</v>
      </c>
      <c r="P45" s="125">
        <v>0</v>
      </c>
      <c r="Q45" s="125">
        <v>0</v>
      </c>
      <c r="R45" s="160">
        <v>0</v>
      </c>
      <c r="S45" s="125">
        <v>0</v>
      </c>
      <c r="T45" s="125">
        <v>0</v>
      </c>
      <c r="U45" s="125">
        <v>0</v>
      </c>
      <c r="V45" s="160">
        <v>0</v>
      </c>
      <c r="W45" s="125">
        <v>0</v>
      </c>
      <c r="X45" s="160">
        <v>0</v>
      </c>
      <c r="Y45" s="125">
        <v>0</v>
      </c>
      <c r="Z45" s="161">
        <v>0</v>
      </c>
    </row>
    <row r="46" spans="1:26" ht="20.25" customHeight="1" x14ac:dyDescent="0.4">
      <c r="A46" s="246" t="s">
        <v>111</v>
      </c>
      <c r="B46" s="154">
        <v>4</v>
      </c>
      <c r="C46" s="155">
        <v>4</v>
      </c>
      <c r="D46" s="156">
        <v>4</v>
      </c>
      <c r="E46" s="155">
        <v>4</v>
      </c>
      <c r="F46" s="155">
        <v>4</v>
      </c>
      <c r="G46" s="155">
        <v>4</v>
      </c>
      <c r="H46" s="156">
        <v>4</v>
      </c>
      <c r="I46" s="155">
        <v>4</v>
      </c>
      <c r="J46" s="155">
        <v>4</v>
      </c>
      <c r="K46" s="156">
        <v>4</v>
      </c>
      <c r="L46" s="155">
        <v>4</v>
      </c>
      <c r="M46" s="155">
        <v>4</v>
      </c>
      <c r="N46" s="155">
        <v>4</v>
      </c>
      <c r="O46" s="156">
        <v>4</v>
      </c>
      <c r="P46" s="155">
        <v>4</v>
      </c>
      <c r="Q46" s="155">
        <v>4</v>
      </c>
      <c r="R46" s="156">
        <v>4</v>
      </c>
      <c r="S46" s="155">
        <v>4</v>
      </c>
      <c r="T46" s="155">
        <v>4</v>
      </c>
      <c r="U46" s="155">
        <v>4</v>
      </c>
      <c r="V46" s="156">
        <v>4</v>
      </c>
      <c r="W46" s="155">
        <v>4</v>
      </c>
      <c r="X46" s="156">
        <v>4</v>
      </c>
      <c r="Y46" s="155">
        <v>4</v>
      </c>
      <c r="Z46" s="157">
        <v>4</v>
      </c>
    </row>
    <row r="47" spans="1:26" ht="24" customHeight="1" x14ac:dyDescent="0.4">
      <c r="A47" s="246"/>
      <c r="B47" s="159">
        <v>0</v>
      </c>
      <c r="C47" s="125">
        <v>0</v>
      </c>
      <c r="D47" s="160">
        <v>0</v>
      </c>
      <c r="E47" s="125">
        <v>0</v>
      </c>
      <c r="F47" s="125">
        <v>0</v>
      </c>
      <c r="G47" s="125">
        <v>0</v>
      </c>
      <c r="H47" s="160">
        <v>0</v>
      </c>
      <c r="I47" s="125">
        <v>0</v>
      </c>
      <c r="J47" s="125">
        <v>0</v>
      </c>
      <c r="K47" s="160">
        <v>0</v>
      </c>
      <c r="L47" s="125">
        <v>0</v>
      </c>
      <c r="M47" s="125">
        <v>0</v>
      </c>
      <c r="N47" s="125">
        <v>0</v>
      </c>
      <c r="O47" s="160">
        <v>0</v>
      </c>
      <c r="P47" s="125">
        <v>0</v>
      </c>
      <c r="Q47" s="125">
        <v>0</v>
      </c>
      <c r="R47" s="160">
        <v>0</v>
      </c>
      <c r="S47" s="125">
        <v>0</v>
      </c>
      <c r="T47" s="125">
        <v>0</v>
      </c>
      <c r="U47" s="125">
        <v>0</v>
      </c>
      <c r="V47" s="160">
        <v>0</v>
      </c>
      <c r="W47" s="125">
        <v>0</v>
      </c>
      <c r="X47" s="160">
        <v>0</v>
      </c>
      <c r="Y47" s="125">
        <v>0</v>
      </c>
      <c r="Z47" s="161">
        <v>0</v>
      </c>
    </row>
    <row r="48" spans="1:26" ht="20.25" customHeight="1" x14ac:dyDescent="0.4">
      <c r="A48" s="246" t="s">
        <v>112</v>
      </c>
      <c r="B48" s="154">
        <v>13</v>
      </c>
      <c r="C48" s="155">
        <v>13</v>
      </c>
      <c r="D48" s="156">
        <v>13</v>
      </c>
      <c r="E48" s="155">
        <v>13</v>
      </c>
      <c r="F48" s="155">
        <v>13</v>
      </c>
      <c r="G48" s="155">
        <v>13</v>
      </c>
      <c r="H48" s="156">
        <v>13</v>
      </c>
      <c r="I48" s="155">
        <v>13</v>
      </c>
      <c r="J48" s="155">
        <v>13</v>
      </c>
      <c r="K48" s="156">
        <v>13</v>
      </c>
      <c r="L48" s="155">
        <v>13</v>
      </c>
      <c r="M48" s="155">
        <v>13</v>
      </c>
      <c r="N48" s="155">
        <v>13</v>
      </c>
      <c r="O48" s="156">
        <v>13</v>
      </c>
      <c r="P48" s="155">
        <v>13</v>
      </c>
      <c r="Q48" s="155">
        <v>13</v>
      </c>
      <c r="R48" s="156">
        <v>13</v>
      </c>
      <c r="S48" s="155">
        <v>13</v>
      </c>
      <c r="T48" s="155">
        <v>13</v>
      </c>
      <c r="U48" s="155">
        <v>13</v>
      </c>
      <c r="V48" s="156">
        <v>13</v>
      </c>
      <c r="W48" s="155">
        <v>13</v>
      </c>
      <c r="X48" s="156">
        <v>13</v>
      </c>
      <c r="Y48" s="155">
        <v>13</v>
      </c>
      <c r="Z48" s="157">
        <v>13</v>
      </c>
    </row>
    <row r="49" spans="1:26" ht="24" customHeight="1" x14ac:dyDescent="0.4">
      <c r="A49" s="246"/>
      <c r="B49" s="159">
        <v>0.01</v>
      </c>
      <c r="C49" s="125">
        <v>0</v>
      </c>
      <c r="D49" s="160">
        <v>0</v>
      </c>
      <c r="E49" s="125">
        <v>0</v>
      </c>
      <c r="F49" s="125">
        <v>0</v>
      </c>
      <c r="G49" s="125">
        <v>0</v>
      </c>
      <c r="H49" s="160">
        <v>0</v>
      </c>
      <c r="I49" s="125">
        <v>0</v>
      </c>
      <c r="J49" s="125">
        <v>0</v>
      </c>
      <c r="K49" s="160">
        <v>0</v>
      </c>
      <c r="L49" s="125">
        <v>0</v>
      </c>
      <c r="M49" s="125">
        <v>0</v>
      </c>
      <c r="N49" s="125">
        <v>0</v>
      </c>
      <c r="O49" s="160">
        <v>0</v>
      </c>
      <c r="P49" s="125">
        <v>0</v>
      </c>
      <c r="Q49" s="125">
        <v>0</v>
      </c>
      <c r="R49" s="160">
        <v>0</v>
      </c>
      <c r="S49" s="125">
        <v>0</v>
      </c>
      <c r="T49" s="125">
        <v>0</v>
      </c>
      <c r="U49" s="125">
        <v>0</v>
      </c>
      <c r="V49" s="160">
        <v>0</v>
      </c>
      <c r="W49" s="125">
        <v>0</v>
      </c>
      <c r="X49" s="160">
        <v>0</v>
      </c>
      <c r="Y49" s="125">
        <v>0</v>
      </c>
      <c r="Z49" s="161">
        <v>0</v>
      </c>
    </row>
    <row r="50" spans="1:26" ht="20.25" customHeight="1" x14ac:dyDescent="0.4">
      <c r="A50" s="246" t="s">
        <v>113</v>
      </c>
      <c r="B50" s="154">
        <v>8</v>
      </c>
      <c r="C50" s="155">
        <v>8</v>
      </c>
      <c r="D50" s="156">
        <v>8</v>
      </c>
      <c r="E50" s="155">
        <v>8</v>
      </c>
      <c r="F50" s="155">
        <v>8</v>
      </c>
      <c r="G50" s="155">
        <v>8</v>
      </c>
      <c r="H50" s="156">
        <v>8</v>
      </c>
      <c r="I50" s="155">
        <v>8</v>
      </c>
      <c r="J50" s="155">
        <v>8</v>
      </c>
      <c r="K50" s="156">
        <v>8</v>
      </c>
      <c r="L50" s="155">
        <v>8</v>
      </c>
      <c r="M50" s="155">
        <v>8</v>
      </c>
      <c r="N50" s="155">
        <v>8</v>
      </c>
      <c r="O50" s="156">
        <v>8</v>
      </c>
      <c r="P50" s="155">
        <v>8</v>
      </c>
      <c r="Q50" s="155">
        <v>8</v>
      </c>
      <c r="R50" s="156">
        <v>8</v>
      </c>
      <c r="S50" s="155">
        <v>8</v>
      </c>
      <c r="T50" s="155">
        <v>8</v>
      </c>
      <c r="U50" s="155">
        <v>8</v>
      </c>
      <c r="V50" s="156">
        <v>8</v>
      </c>
      <c r="W50" s="155">
        <v>8</v>
      </c>
      <c r="X50" s="156">
        <v>8</v>
      </c>
      <c r="Y50" s="155">
        <v>8</v>
      </c>
      <c r="Z50" s="157">
        <v>8</v>
      </c>
    </row>
    <row r="51" spans="1:26" ht="24" customHeight="1" x14ac:dyDescent="0.4">
      <c r="A51" s="246"/>
      <c r="B51" s="159">
        <v>0.01</v>
      </c>
      <c r="C51" s="125">
        <v>0</v>
      </c>
      <c r="D51" s="160">
        <v>0</v>
      </c>
      <c r="E51" s="125">
        <v>0</v>
      </c>
      <c r="F51" s="125">
        <v>0</v>
      </c>
      <c r="G51" s="125">
        <v>0</v>
      </c>
      <c r="H51" s="160">
        <v>0</v>
      </c>
      <c r="I51" s="125">
        <v>0</v>
      </c>
      <c r="J51" s="125">
        <v>0</v>
      </c>
      <c r="K51" s="160">
        <v>0</v>
      </c>
      <c r="L51" s="125">
        <v>0</v>
      </c>
      <c r="M51" s="125">
        <v>0</v>
      </c>
      <c r="N51" s="125">
        <v>0</v>
      </c>
      <c r="O51" s="160">
        <v>0</v>
      </c>
      <c r="P51" s="125">
        <v>0</v>
      </c>
      <c r="Q51" s="125">
        <v>0</v>
      </c>
      <c r="R51" s="160">
        <v>0</v>
      </c>
      <c r="S51" s="125">
        <v>0</v>
      </c>
      <c r="T51" s="125">
        <v>0</v>
      </c>
      <c r="U51" s="125">
        <v>0</v>
      </c>
      <c r="V51" s="160">
        <v>0</v>
      </c>
      <c r="W51" s="125">
        <v>0</v>
      </c>
      <c r="X51" s="160">
        <v>0</v>
      </c>
      <c r="Y51" s="125">
        <v>0</v>
      </c>
      <c r="Z51" s="161">
        <v>0</v>
      </c>
    </row>
    <row r="52" spans="1:26" x14ac:dyDescent="0.4">
      <c r="A52" s="247" t="s">
        <v>114</v>
      </c>
      <c r="B52" s="154">
        <v>66</v>
      </c>
      <c r="C52" s="155">
        <v>66</v>
      </c>
      <c r="D52" s="156">
        <v>66</v>
      </c>
      <c r="E52" s="155">
        <v>66</v>
      </c>
      <c r="F52" s="155">
        <v>66</v>
      </c>
      <c r="G52" s="155">
        <v>66</v>
      </c>
      <c r="H52" s="156">
        <v>66</v>
      </c>
      <c r="I52" s="155">
        <v>66</v>
      </c>
      <c r="J52" s="155">
        <v>66</v>
      </c>
      <c r="K52" s="156">
        <v>66</v>
      </c>
      <c r="L52" s="155">
        <v>66</v>
      </c>
      <c r="M52" s="155">
        <v>66</v>
      </c>
      <c r="N52" s="155">
        <v>66</v>
      </c>
      <c r="O52" s="156">
        <v>66</v>
      </c>
      <c r="P52" s="155">
        <v>66</v>
      </c>
      <c r="Q52" s="155">
        <v>66</v>
      </c>
      <c r="R52" s="156">
        <v>66</v>
      </c>
      <c r="S52" s="155">
        <v>66</v>
      </c>
      <c r="T52" s="155">
        <v>66</v>
      </c>
      <c r="U52" s="155">
        <v>66</v>
      </c>
      <c r="V52" s="156">
        <v>66</v>
      </c>
      <c r="W52" s="155">
        <v>66</v>
      </c>
      <c r="X52" s="156">
        <v>66</v>
      </c>
      <c r="Y52" s="155">
        <v>66</v>
      </c>
      <c r="Z52" s="157">
        <v>66</v>
      </c>
    </row>
    <row r="53" spans="1:26" ht="24" customHeight="1" x14ac:dyDescent="0.4">
      <c r="A53" s="247"/>
      <c r="B53" s="159">
        <v>0.06</v>
      </c>
      <c r="C53" s="125">
        <v>0</v>
      </c>
      <c r="D53" s="160">
        <v>0</v>
      </c>
      <c r="E53" s="125">
        <v>0</v>
      </c>
      <c r="F53" s="125">
        <v>0</v>
      </c>
      <c r="G53" s="125">
        <v>0</v>
      </c>
      <c r="H53" s="160">
        <v>0</v>
      </c>
      <c r="I53" s="125">
        <v>0</v>
      </c>
      <c r="J53" s="125">
        <v>0</v>
      </c>
      <c r="K53" s="160">
        <v>0</v>
      </c>
      <c r="L53" s="125">
        <v>0</v>
      </c>
      <c r="M53" s="125">
        <v>0</v>
      </c>
      <c r="N53" s="125">
        <v>0</v>
      </c>
      <c r="O53" s="160">
        <v>0</v>
      </c>
      <c r="P53" s="125">
        <v>0</v>
      </c>
      <c r="Q53" s="125">
        <v>0</v>
      </c>
      <c r="R53" s="160">
        <v>0</v>
      </c>
      <c r="S53" s="125">
        <v>0</v>
      </c>
      <c r="T53" s="125">
        <v>0</v>
      </c>
      <c r="U53" s="125">
        <v>0</v>
      </c>
      <c r="V53" s="160">
        <v>0</v>
      </c>
      <c r="W53" s="125">
        <v>0</v>
      </c>
      <c r="X53" s="160">
        <v>0</v>
      </c>
      <c r="Y53" s="125">
        <v>0</v>
      </c>
      <c r="Z53" s="161">
        <v>0</v>
      </c>
    </row>
    <row r="54" spans="1:26" x14ac:dyDescent="0.4">
      <c r="A54" s="247" t="s">
        <v>115</v>
      </c>
      <c r="B54" s="154">
        <v>10</v>
      </c>
      <c r="C54" s="155">
        <v>10</v>
      </c>
      <c r="D54" s="156">
        <v>10</v>
      </c>
      <c r="E54" s="155">
        <v>10</v>
      </c>
      <c r="F54" s="155">
        <v>10</v>
      </c>
      <c r="G54" s="155">
        <v>10</v>
      </c>
      <c r="H54" s="156">
        <v>10</v>
      </c>
      <c r="I54" s="155">
        <v>10</v>
      </c>
      <c r="J54" s="155">
        <v>10</v>
      </c>
      <c r="K54" s="156">
        <v>10</v>
      </c>
      <c r="L54" s="155">
        <v>10</v>
      </c>
      <c r="M54" s="155">
        <v>10</v>
      </c>
      <c r="N54" s="155">
        <v>10</v>
      </c>
      <c r="O54" s="156">
        <v>10</v>
      </c>
      <c r="P54" s="155">
        <v>10</v>
      </c>
      <c r="Q54" s="155">
        <v>10</v>
      </c>
      <c r="R54" s="156">
        <v>10</v>
      </c>
      <c r="S54" s="155">
        <v>10</v>
      </c>
      <c r="T54" s="155">
        <v>10</v>
      </c>
      <c r="U54" s="155">
        <v>10</v>
      </c>
      <c r="V54" s="156">
        <v>10</v>
      </c>
      <c r="W54" s="155">
        <v>10</v>
      </c>
      <c r="X54" s="156">
        <v>10</v>
      </c>
      <c r="Y54" s="155">
        <v>10</v>
      </c>
      <c r="Z54" s="157">
        <v>10</v>
      </c>
    </row>
    <row r="55" spans="1:26" ht="24" customHeight="1" x14ac:dyDescent="0.4">
      <c r="A55" s="247"/>
      <c r="B55" s="159">
        <v>0.01</v>
      </c>
      <c r="C55" s="125">
        <v>0</v>
      </c>
      <c r="D55" s="160">
        <v>0</v>
      </c>
      <c r="E55" s="125">
        <v>0</v>
      </c>
      <c r="F55" s="125">
        <v>0</v>
      </c>
      <c r="G55" s="125">
        <v>0</v>
      </c>
      <c r="H55" s="160">
        <v>0</v>
      </c>
      <c r="I55" s="125">
        <v>0</v>
      </c>
      <c r="J55" s="125">
        <v>0</v>
      </c>
      <c r="K55" s="160">
        <v>0</v>
      </c>
      <c r="L55" s="125">
        <v>0</v>
      </c>
      <c r="M55" s="125">
        <v>0</v>
      </c>
      <c r="N55" s="125">
        <v>0</v>
      </c>
      <c r="O55" s="160">
        <v>0</v>
      </c>
      <c r="P55" s="125">
        <v>0</v>
      </c>
      <c r="Q55" s="125">
        <v>0</v>
      </c>
      <c r="R55" s="160">
        <v>0</v>
      </c>
      <c r="S55" s="125">
        <v>0</v>
      </c>
      <c r="T55" s="125">
        <v>0</v>
      </c>
      <c r="U55" s="125">
        <v>0</v>
      </c>
      <c r="V55" s="160">
        <v>0</v>
      </c>
      <c r="W55" s="125">
        <v>0</v>
      </c>
      <c r="X55" s="160">
        <v>0</v>
      </c>
      <c r="Y55" s="125">
        <v>0</v>
      </c>
      <c r="Z55" s="161">
        <v>0</v>
      </c>
    </row>
    <row r="56" spans="1:26" x14ac:dyDescent="0.4">
      <c r="A56" s="247" t="s">
        <v>116</v>
      </c>
      <c r="B56" s="154">
        <v>13</v>
      </c>
      <c r="C56" s="155">
        <v>13</v>
      </c>
      <c r="D56" s="156">
        <v>13</v>
      </c>
      <c r="E56" s="155">
        <v>13</v>
      </c>
      <c r="F56" s="155">
        <v>13</v>
      </c>
      <c r="G56" s="155">
        <v>13</v>
      </c>
      <c r="H56" s="156">
        <v>13</v>
      </c>
      <c r="I56" s="155">
        <v>13</v>
      </c>
      <c r="J56" s="155">
        <v>13</v>
      </c>
      <c r="K56" s="156">
        <v>13</v>
      </c>
      <c r="L56" s="155">
        <v>13</v>
      </c>
      <c r="M56" s="155">
        <v>13</v>
      </c>
      <c r="N56" s="155">
        <v>13</v>
      </c>
      <c r="O56" s="156">
        <v>13</v>
      </c>
      <c r="P56" s="155">
        <v>13</v>
      </c>
      <c r="Q56" s="155">
        <v>13</v>
      </c>
      <c r="R56" s="156">
        <v>13</v>
      </c>
      <c r="S56" s="155">
        <v>13</v>
      </c>
      <c r="T56" s="155">
        <v>13</v>
      </c>
      <c r="U56" s="155">
        <v>13</v>
      </c>
      <c r="V56" s="156">
        <v>13</v>
      </c>
      <c r="W56" s="155">
        <v>13</v>
      </c>
      <c r="X56" s="156">
        <v>13</v>
      </c>
      <c r="Y56" s="155">
        <v>13</v>
      </c>
      <c r="Z56" s="157">
        <v>13</v>
      </c>
    </row>
    <row r="57" spans="1:26" ht="24" customHeight="1" x14ac:dyDescent="0.4">
      <c r="A57" s="247"/>
      <c r="B57" s="159">
        <v>0.01</v>
      </c>
      <c r="C57" s="125">
        <v>0</v>
      </c>
      <c r="D57" s="160">
        <v>0</v>
      </c>
      <c r="E57" s="125">
        <v>0</v>
      </c>
      <c r="F57" s="125">
        <v>0</v>
      </c>
      <c r="G57" s="125">
        <v>0</v>
      </c>
      <c r="H57" s="160">
        <v>0</v>
      </c>
      <c r="I57" s="125">
        <v>0</v>
      </c>
      <c r="J57" s="125">
        <v>0</v>
      </c>
      <c r="K57" s="160">
        <v>0</v>
      </c>
      <c r="L57" s="125">
        <v>0</v>
      </c>
      <c r="M57" s="125">
        <v>0</v>
      </c>
      <c r="N57" s="125">
        <v>0</v>
      </c>
      <c r="O57" s="160">
        <v>0</v>
      </c>
      <c r="P57" s="125">
        <v>0</v>
      </c>
      <c r="Q57" s="125">
        <v>0</v>
      </c>
      <c r="R57" s="160">
        <v>0</v>
      </c>
      <c r="S57" s="125">
        <v>0</v>
      </c>
      <c r="T57" s="125">
        <v>0</v>
      </c>
      <c r="U57" s="125">
        <v>0</v>
      </c>
      <c r="V57" s="160">
        <v>0</v>
      </c>
      <c r="W57" s="125">
        <v>0</v>
      </c>
      <c r="X57" s="160">
        <v>0</v>
      </c>
      <c r="Y57" s="125">
        <v>0</v>
      </c>
      <c r="Z57" s="161">
        <v>0</v>
      </c>
    </row>
    <row r="58" spans="1:26" x14ac:dyDescent="0.4">
      <c r="A58" s="247" t="s">
        <v>117</v>
      </c>
      <c r="B58" s="154">
        <v>2</v>
      </c>
      <c r="C58" s="155">
        <v>2</v>
      </c>
      <c r="D58" s="156">
        <v>2</v>
      </c>
      <c r="E58" s="155">
        <v>2</v>
      </c>
      <c r="F58" s="155">
        <v>2</v>
      </c>
      <c r="G58" s="155">
        <v>2</v>
      </c>
      <c r="H58" s="156">
        <v>2</v>
      </c>
      <c r="I58" s="155">
        <v>2</v>
      </c>
      <c r="J58" s="155">
        <v>2</v>
      </c>
      <c r="K58" s="156">
        <v>2</v>
      </c>
      <c r="L58" s="155">
        <v>2</v>
      </c>
      <c r="M58" s="155">
        <v>2</v>
      </c>
      <c r="N58" s="155">
        <v>2</v>
      </c>
      <c r="O58" s="156">
        <v>2</v>
      </c>
      <c r="P58" s="155">
        <v>2</v>
      </c>
      <c r="Q58" s="155">
        <v>2</v>
      </c>
      <c r="R58" s="156">
        <v>2</v>
      </c>
      <c r="S58" s="155">
        <v>2</v>
      </c>
      <c r="T58" s="155">
        <v>2</v>
      </c>
      <c r="U58" s="155">
        <v>2</v>
      </c>
      <c r="V58" s="156">
        <v>2</v>
      </c>
      <c r="W58" s="155">
        <v>2</v>
      </c>
      <c r="X58" s="156">
        <v>2</v>
      </c>
      <c r="Y58" s="155">
        <v>2</v>
      </c>
      <c r="Z58" s="157">
        <v>2</v>
      </c>
    </row>
    <row r="59" spans="1:26" ht="24" customHeight="1" x14ac:dyDescent="0.4">
      <c r="A59" s="247"/>
      <c r="B59" s="159">
        <v>0</v>
      </c>
      <c r="C59" s="125">
        <v>0</v>
      </c>
      <c r="D59" s="160">
        <v>0</v>
      </c>
      <c r="E59" s="125">
        <v>0</v>
      </c>
      <c r="F59" s="125">
        <v>0</v>
      </c>
      <c r="G59" s="125">
        <v>0</v>
      </c>
      <c r="H59" s="160">
        <v>0</v>
      </c>
      <c r="I59" s="125">
        <v>0</v>
      </c>
      <c r="J59" s="125">
        <v>0</v>
      </c>
      <c r="K59" s="160">
        <v>0</v>
      </c>
      <c r="L59" s="125">
        <v>0</v>
      </c>
      <c r="M59" s="125">
        <v>0</v>
      </c>
      <c r="N59" s="125">
        <v>0</v>
      </c>
      <c r="O59" s="160">
        <v>0</v>
      </c>
      <c r="P59" s="125">
        <v>0</v>
      </c>
      <c r="Q59" s="125">
        <v>0</v>
      </c>
      <c r="R59" s="160">
        <v>0</v>
      </c>
      <c r="S59" s="125">
        <v>0</v>
      </c>
      <c r="T59" s="125">
        <v>0</v>
      </c>
      <c r="U59" s="125">
        <v>0</v>
      </c>
      <c r="V59" s="160">
        <v>0</v>
      </c>
      <c r="W59" s="125">
        <v>0</v>
      </c>
      <c r="X59" s="160">
        <v>0</v>
      </c>
      <c r="Y59" s="125">
        <v>0</v>
      </c>
      <c r="Z59" s="161">
        <v>0</v>
      </c>
    </row>
    <row r="60" spans="1:26" x14ac:dyDescent="0.4">
      <c r="A60" s="247" t="s">
        <v>118</v>
      </c>
      <c r="B60" s="154">
        <v>60</v>
      </c>
      <c r="C60" s="155">
        <v>60</v>
      </c>
      <c r="D60" s="156">
        <v>60</v>
      </c>
      <c r="E60" s="155">
        <v>60</v>
      </c>
      <c r="F60" s="155">
        <v>60</v>
      </c>
      <c r="G60" s="155">
        <v>60</v>
      </c>
      <c r="H60" s="156">
        <v>60</v>
      </c>
      <c r="I60" s="155">
        <v>60</v>
      </c>
      <c r="J60" s="155">
        <v>60</v>
      </c>
      <c r="K60" s="156">
        <v>60</v>
      </c>
      <c r="L60" s="155">
        <v>60</v>
      </c>
      <c r="M60" s="155">
        <v>60</v>
      </c>
      <c r="N60" s="155">
        <v>60</v>
      </c>
      <c r="O60" s="156">
        <v>60</v>
      </c>
      <c r="P60" s="155">
        <v>60</v>
      </c>
      <c r="Q60" s="155">
        <v>60</v>
      </c>
      <c r="R60" s="156">
        <v>60</v>
      </c>
      <c r="S60" s="155">
        <v>60</v>
      </c>
      <c r="T60" s="155">
        <v>60</v>
      </c>
      <c r="U60" s="155">
        <v>60</v>
      </c>
      <c r="V60" s="156">
        <v>60</v>
      </c>
      <c r="W60" s="155">
        <v>60</v>
      </c>
      <c r="X60" s="156">
        <v>60</v>
      </c>
      <c r="Y60" s="155">
        <v>60</v>
      </c>
      <c r="Z60" s="157">
        <v>60</v>
      </c>
    </row>
    <row r="61" spans="1:26" ht="24" customHeight="1" x14ac:dyDescent="0.4">
      <c r="A61" s="247"/>
      <c r="B61" s="159">
        <v>0.06</v>
      </c>
      <c r="C61" s="125">
        <v>0</v>
      </c>
      <c r="D61" s="160">
        <v>0</v>
      </c>
      <c r="E61" s="125">
        <v>0</v>
      </c>
      <c r="F61" s="125">
        <v>0</v>
      </c>
      <c r="G61" s="125">
        <v>0</v>
      </c>
      <c r="H61" s="160">
        <v>0</v>
      </c>
      <c r="I61" s="125">
        <v>0</v>
      </c>
      <c r="J61" s="125">
        <v>0</v>
      </c>
      <c r="K61" s="160">
        <v>0</v>
      </c>
      <c r="L61" s="125">
        <v>0</v>
      </c>
      <c r="M61" s="125">
        <v>0</v>
      </c>
      <c r="N61" s="125">
        <v>0</v>
      </c>
      <c r="O61" s="160">
        <v>0</v>
      </c>
      <c r="P61" s="125">
        <v>0</v>
      </c>
      <c r="Q61" s="125">
        <v>0</v>
      </c>
      <c r="R61" s="160">
        <v>0</v>
      </c>
      <c r="S61" s="125">
        <v>0</v>
      </c>
      <c r="T61" s="125">
        <v>0</v>
      </c>
      <c r="U61" s="125">
        <v>0</v>
      </c>
      <c r="V61" s="160">
        <v>0</v>
      </c>
      <c r="W61" s="125">
        <v>0</v>
      </c>
      <c r="X61" s="160">
        <v>0</v>
      </c>
      <c r="Y61" s="125">
        <v>0</v>
      </c>
      <c r="Z61" s="161">
        <v>0</v>
      </c>
    </row>
    <row r="62" spans="1:26" x14ac:dyDescent="0.4">
      <c r="A62" s="247" t="s">
        <v>119</v>
      </c>
      <c r="B62" s="154">
        <v>53</v>
      </c>
      <c r="C62" s="155">
        <v>53</v>
      </c>
      <c r="D62" s="156">
        <v>53</v>
      </c>
      <c r="E62" s="155">
        <v>53</v>
      </c>
      <c r="F62" s="155">
        <v>53</v>
      </c>
      <c r="G62" s="155">
        <v>53</v>
      </c>
      <c r="H62" s="156">
        <v>53</v>
      </c>
      <c r="I62" s="155">
        <v>53</v>
      </c>
      <c r="J62" s="155">
        <v>53</v>
      </c>
      <c r="K62" s="156">
        <v>53</v>
      </c>
      <c r="L62" s="155">
        <v>53</v>
      </c>
      <c r="M62" s="155">
        <v>53</v>
      </c>
      <c r="N62" s="155">
        <v>53</v>
      </c>
      <c r="O62" s="156">
        <v>53</v>
      </c>
      <c r="P62" s="155">
        <v>53</v>
      </c>
      <c r="Q62" s="155">
        <v>53</v>
      </c>
      <c r="R62" s="156">
        <v>53</v>
      </c>
      <c r="S62" s="155">
        <v>53</v>
      </c>
      <c r="T62" s="155">
        <v>53</v>
      </c>
      <c r="U62" s="155">
        <v>53</v>
      </c>
      <c r="V62" s="156">
        <v>53</v>
      </c>
      <c r="W62" s="155">
        <v>53</v>
      </c>
      <c r="X62" s="156">
        <v>53</v>
      </c>
      <c r="Y62" s="155">
        <v>53</v>
      </c>
      <c r="Z62" s="157">
        <v>53</v>
      </c>
    </row>
    <row r="63" spans="1:26" ht="24" customHeight="1" x14ac:dyDescent="0.4">
      <c r="A63" s="247"/>
      <c r="B63" s="159">
        <v>0.05</v>
      </c>
      <c r="C63" s="125">
        <v>0</v>
      </c>
      <c r="D63" s="160">
        <v>0</v>
      </c>
      <c r="E63" s="125">
        <v>0</v>
      </c>
      <c r="F63" s="125">
        <v>0</v>
      </c>
      <c r="G63" s="125">
        <v>0</v>
      </c>
      <c r="H63" s="160">
        <v>0</v>
      </c>
      <c r="I63" s="125">
        <v>0</v>
      </c>
      <c r="J63" s="125">
        <v>0</v>
      </c>
      <c r="K63" s="160">
        <v>0</v>
      </c>
      <c r="L63" s="125">
        <v>0</v>
      </c>
      <c r="M63" s="125">
        <v>0</v>
      </c>
      <c r="N63" s="125">
        <v>0</v>
      </c>
      <c r="O63" s="160">
        <v>0</v>
      </c>
      <c r="P63" s="125">
        <v>0</v>
      </c>
      <c r="Q63" s="125">
        <v>0</v>
      </c>
      <c r="R63" s="160">
        <v>0</v>
      </c>
      <c r="S63" s="125">
        <v>0</v>
      </c>
      <c r="T63" s="125">
        <v>0</v>
      </c>
      <c r="U63" s="125">
        <v>0</v>
      </c>
      <c r="V63" s="160">
        <v>0</v>
      </c>
      <c r="W63" s="125">
        <v>0</v>
      </c>
      <c r="X63" s="160">
        <v>0</v>
      </c>
      <c r="Y63" s="125">
        <v>0</v>
      </c>
      <c r="Z63" s="161">
        <v>0</v>
      </c>
    </row>
    <row r="64" spans="1:26" x14ac:dyDescent="0.4">
      <c r="A64" s="247" t="s">
        <v>120</v>
      </c>
      <c r="B64" s="154">
        <v>26</v>
      </c>
      <c r="C64" s="155">
        <v>26</v>
      </c>
      <c r="D64" s="156">
        <v>26</v>
      </c>
      <c r="E64" s="155">
        <v>26</v>
      </c>
      <c r="F64" s="155">
        <v>26</v>
      </c>
      <c r="G64" s="155">
        <v>26</v>
      </c>
      <c r="H64" s="156">
        <v>26</v>
      </c>
      <c r="I64" s="155">
        <v>26</v>
      </c>
      <c r="J64" s="155">
        <v>26</v>
      </c>
      <c r="K64" s="156">
        <v>26</v>
      </c>
      <c r="L64" s="155">
        <v>26</v>
      </c>
      <c r="M64" s="155">
        <v>26</v>
      </c>
      <c r="N64" s="155">
        <v>26</v>
      </c>
      <c r="O64" s="156">
        <v>26</v>
      </c>
      <c r="P64" s="155">
        <v>26</v>
      </c>
      <c r="Q64" s="155">
        <v>26</v>
      </c>
      <c r="R64" s="156">
        <v>26</v>
      </c>
      <c r="S64" s="155">
        <v>26</v>
      </c>
      <c r="T64" s="155">
        <v>26</v>
      </c>
      <c r="U64" s="155">
        <v>26</v>
      </c>
      <c r="V64" s="156">
        <v>26</v>
      </c>
      <c r="W64" s="155">
        <v>26</v>
      </c>
      <c r="X64" s="156">
        <v>26</v>
      </c>
      <c r="Y64" s="155">
        <v>26</v>
      </c>
      <c r="Z64" s="157">
        <v>26</v>
      </c>
    </row>
    <row r="65" spans="1:26" ht="24" customHeight="1" x14ac:dyDescent="0.4">
      <c r="A65" s="247"/>
      <c r="B65" s="159">
        <v>0.02</v>
      </c>
      <c r="C65" s="125">
        <v>0</v>
      </c>
      <c r="D65" s="160">
        <v>0</v>
      </c>
      <c r="E65" s="125">
        <v>0</v>
      </c>
      <c r="F65" s="125">
        <v>0</v>
      </c>
      <c r="G65" s="125">
        <v>0</v>
      </c>
      <c r="H65" s="160">
        <v>0</v>
      </c>
      <c r="I65" s="125">
        <v>0</v>
      </c>
      <c r="J65" s="125">
        <v>0</v>
      </c>
      <c r="K65" s="160">
        <v>0</v>
      </c>
      <c r="L65" s="125">
        <v>0</v>
      </c>
      <c r="M65" s="125">
        <v>0</v>
      </c>
      <c r="N65" s="125">
        <v>0</v>
      </c>
      <c r="O65" s="160">
        <v>0</v>
      </c>
      <c r="P65" s="125">
        <v>0</v>
      </c>
      <c r="Q65" s="125">
        <v>0</v>
      </c>
      <c r="R65" s="160">
        <v>0</v>
      </c>
      <c r="S65" s="125">
        <v>0</v>
      </c>
      <c r="T65" s="125">
        <v>0</v>
      </c>
      <c r="U65" s="125">
        <v>0</v>
      </c>
      <c r="V65" s="160">
        <v>0</v>
      </c>
      <c r="W65" s="125">
        <v>0</v>
      </c>
      <c r="X65" s="160">
        <v>0</v>
      </c>
      <c r="Y65" s="125">
        <v>0</v>
      </c>
      <c r="Z65" s="161">
        <v>0</v>
      </c>
    </row>
    <row r="66" spans="1:26" x14ac:dyDescent="0.4">
      <c r="A66" s="247" t="s">
        <v>121</v>
      </c>
      <c r="B66" s="154">
        <v>3</v>
      </c>
      <c r="C66" s="155">
        <v>3</v>
      </c>
      <c r="D66" s="156">
        <v>3</v>
      </c>
      <c r="E66" s="155">
        <v>3</v>
      </c>
      <c r="F66" s="155">
        <v>3</v>
      </c>
      <c r="G66" s="155">
        <v>3</v>
      </c>
      <c r="H66" s="156">
        <v>3</v>
      </c>
      <c r="I66" s="155">
        <v>3</v>
      </c>
      <c r="J66" s="155">
        <v>3</v>
      </c>
      <c r="K66" s="156">
        <v>3</v>
      </c>
      <c r="L66" s="155">
        <v>3</v>
      </c>
      <c r="M66" s="155">
        <v>3</v>
      </c>
      <c r="N66" s="155">
        <v>3</v>
      </c>
      <c r="O66" s="156">
        <v>3</v>
      </c>
      <c r="P66" s="155">
        <v>3</v>
      </c>
      <c r="Q66" s="155">
        <v>3</v>
      </c>
      <c r="R66" s="156">
        <v>3</v>
      </c>
      <c r="S66" s="155">
        <v>3</v>
      </c>
      <c r="T66" s="155">
        <v>3</v>
      </c>
      <c r="U66" s="155">
        <v>3</v>
      </c>
      <c r="V66" s="156">
        <v>3</v>
      </c>
      <c r="W66" s="155">
        <v>3</v>
      </c>
      <c r="X66" s="156">
        <v>3</v>
      </c>
      <c r="Y66" s="155">
        <v>3</v>
      </c>
      <c r="Z66" s="157">
        <v>3</v>
      </c>
    </row>
    <row r="67" spans="1:26" ht="24" customHeight="1" x14ac:dyDescent="0.4">
      <c r="A67" s="247"/>
      <c r="B67" s="159">
        <v>0</v>
      </c>
      <c r="C67" s="125">
        <v>0</v>
      </c>
      <c r="D67" s="160">
        <v>0</v>
      </c>
      <c r="E67" s="125">
        <v>0</v>
      </c>
      <c r="F67" s="125">
        <v>0</v>
      </c>
      <c r="G67" s="125">
        <v>0</v>
      </c>
      <c r="H67" s="160">
        <v>0</v>
      </c>
      <c r="I67" s="125">
        <v>0</v>
      </c>
      <c r="J67" s="125">
        <v>0</v>
      </c>
      <c r="K67" s="160">
        <v>0</v>
      </c>
      <c r="L67" s="125">
        <v>0</v>
      </c>
      <c r="M67" s="125">
        <v>0</v>
      </c>
      <c r="N67" s="125">
        <v>0</v>
      </c>
      <c r="O67" s="160">
        <v>0</v>
      </c>
      <c r="P67" s="125">
        <v>0</v>
      </c>
      <c r="Q67" s="125">
        <v>0</v>
      </c>
      <c r="R67" s="160">
        <v>0</v>
      </c>
      <c r="S67" s="125">
        <v>0</v>
      </c>
      <c r="T67" s="125">
        <v>0</v>
      </c>
      <c r="U67" s="125">
        <v>0</v>
      </c>
      <c r="V67" s="160">
        <v>0</v>
      </c>
      <c r="W67" s="125">
        <v>0</v>
      </c>
      <c r="X67" s="160">
        <v>0</v>
      </c>
      <c r="Y67" s="125">
        <v>0</v>
      </c>
      <c r="Z67" s="161">
        <v>0</v>
      </c>
    </row>
    <row r="68" spans="1:26" x14ac:dyDescent="0.4">
      <c r="A68" s="247" t="s">
        <v>122</v>
      </c>
      <c r="B68" s="154">
        <v>28</v>
      </c>
      <c r="C68" s="155">
        <v>28</v>
      </c>
      <c r="D68" s="156">
        <v>28</v>
      </c>
      <c r="E68" s="155">
        <v>28</v>
      </c>
      <c r="F68" s="155">
        <v>28</v>
      </c>
      <c r="G68" s="155">
        <v>28</v>
      </c>
      <c r="H68" s="156">
        <v>28</v>
      </c>
      <c r="I68" s="155">
        <v>28</v>
      </c>
      <c r="J68" s="155">
        <v>28</v>
      </c>
      <c r="K68" s="156">
        <v>28</v>
      </c>
      <c r="L68" s="155">
        <v>28</v>
      </c>
      <c r="M68" s="155">
        <v>28</v>
      </c>
      <c r="N68" s="155">
        <v>28</v>
      </c>
      <c r="O68" s="156">
        <v>28</v>
      </c>
      <c r="P68" s="155">
        <v>28</v>
      </c>
      <c r="Q68" s="155">
        <v>28</v>
      </c>
      <c r="R68" s="156">
        <v>28</v>
      </c>
      <c r="S68" s="155">
        <v>28</v>
      </c>
      <c r="T68" s="155">
        <v>28</v>
      </c>
      <c r="U68" s="155">
        <v>28</v>
      </c>
      <c r="V68" s="156">
        <v>28</v>
      </c>
      <c r="W68" s="155">
        <v>28</v>
      </c>
      <c r="X68" s="156">
        <v>28</v>
      </c>
      <c r="Y68" s="155">
        <v>28</v>
      </c>
      <c r="Z68" s="157">
        <v>28</v>
      </c>
    </row>
    <row r="69" spans="1:26" ht="24" customHeight="1" x14ac:dyDescent="0.4">
      <c r="A69" s="247"/>
      <c r="B69" s="159">
        <v>0.03</v>
      </c>
      <c r="C69" s="125">
        <v>0</v>
      </c>
      <c r="D69" s="160">
        <v>0</v>
      </c>
      <c r="E69" s="125">
        <v>0</v>
      </c>
      <c r="F69" s="125">
        <v>0</v>
      </c>
      <c r="G69" s="125">
        <v>0</v>
      </c>
      <c r="H69" s="160">
        <v>0</v>
      </c>
      <c r="I69" s="125">
        <v>0</v>
      </c>
      <c r="J69" s="125">
        <v>0</v>
      </c>
      <c r="K69" s="160">
        <v>0</v>
      </c>
      <c r="L69" s="125">
        <v>0</v>
      </c>
      <c r="M69" s="125">
        <v>0</v>
      </c>
      <c r="N69" s="125">
        <v>0</v>
      </c>
      <c r="O69" s="160">
        <v>0</v>
      </c>
      <c r="P69" s="125">
        <v>0</v>
      </c>
      <c r="Q69" s="125">
        <v>0</v>
      </c>
      <c r="R69" s="160">
        <v>0</v>
      </c>
      <c r="S69" s="125">
        <v>0</v>
      </c>
      <c r="T69" s="125">
        <v>0</v>
      </c>
      <c r="U69" s="125">
        <v>0</v>
      </c>
      <c r="V69" s="160">
        <v>0</v>
      </c>
      <c r="W69" s="125">
        <v>0</v>
      </c>
      <c r="X69" s="160">
        <v>0</v>
      </c>
      <c r="Y69" s="125">
        <v>0</v>
      </c>
      <c r="Z69" s="161">
        <v>0</v>
      </c>
    </row>
    <row r="70" spans="1:26" x14ac:dyDescent="0.4">
      <c r="A70" s="247" t="s">
        <v>81</v>
      </c>
      <c r="B70" s="154">
        <v>219</v>
      </c>
      <c r="C70" s="155">
        <v>219</v>
      </c>
      <c r="D70" s="156">
        <v>219</v>
      </c>
      <c r="E70" s="155">
        <v>219</v>
      </c>
      <c r="F70" s="155">
        <v>219</v>
      </c>
      <c r="G70" s="155">
        <v>219</v>
      </c>
      <c r="H70" s="156">
        <v>219</v>
      </c>
      <c r="I70" s="155">
        <v>219</v>
      </c>
      <c r="J70" s="155">
        <v>219</v>
      </c>
      <c r="K70" s="156">
        <v>219</v>
      </c>
      <c r="L70" s="155">
        <v>219</v>
      </c>
      <c r="M70" s="155">
        <v>219</v>
      </c>
      <c r="N70" s="155">
        <v>219</v>
      </c>
      <c r="O70" s="156">
        <v>219</v>
      </c>
      <c r="P70" s="155">
        <v>219</v>
      </c>
      <c r="Q70" s="155">
        <v>219</v>
      </c>
      <c r="R70" s="156">
        <v>219</v>
      </c>
      <c r="S70" s="155">
        <v>219</v>
      </c>
      <c r="T70" s="155">
        <v>219</v>
      </c>
      <c r="U70" s="155">
        <v>219</v>
      </c>
      <c r="V70" s="156">
        <v>219</v>
      </c>
      <c r="W70" s="155">
        <v>219</v>
      </c>
      <c r="X70" s="156">
        <v>219</v>
      </c>
      <c r="Y70" s="155">
        <v>219</v>
      </c>
      <c r="Z70" s="157">
        <v>219</v>
      </c>
    </row>
    <row r="71" spans="1:26" ht="24" customHeight="1" x14ac:dyDescent="0.4">
      <c r="A71" s="247"/>
      <c r="B71" s="159">
        <v>0.21</v>
      </c>
      <c r="C71" s="125">
        <v>0</v>
      </c>
      <c r="D71" s="160">
        <v>0</v>
      </c>
      <c r="E71" s="125">
        <v>0</v>
      </c>
      <c r="F71" s="125">
        <v>0</v>
      </c>
      <c r="G71" s="125">
        <v>0</v>
      </c>
      <c r="H71" s="160">
        <v>0</v>
      </c>
      <c r="I71" s="125">
        <v>0</v>
      </c>
      <c r="J71" s="125">
        <v>0</v>
      </c>
      <c r="K71" s="160">
        <v>0</v>
      </c>
      <c r="L71" s="125">
        <v>0</v>
      </c>
      <c r="M71" s="125">
        <v>0</v>
      </c>
      <c r="N71" s="125">
        <v>0</v>
      </c>
      <c r="O71" s="160">
        <v>0</v>
      </c>
      <c r="P71" s="125">
        <v>0</v>
      </c>
      <c r="Q71" s="125">
        <v>0</v>
      </c>
      <c r="R71" s="160">
        <v>0</v>
      </c>
      <c r="S71" s="125">
        <v>0</v>
      </c>
      <c r="T71" s="125">
        <v>0</v>
      </c>
      <c r="U71" s="125">
        <v>0</v>
      </c>
      <c r="V71" s="160">
        <v>0</v>
      </c>
      <c r="W71" s="125">
        <v>0</v>
      </c>
      <c r="X71" s="160">
        <v>0</v>
      </c>
      <c r="Y71" s="125">
        <v>0</v>
      </c>
      <c r="Z71" s="161">
        <v>0</v>
      </c>
    </row>
    <row r="72" spans="1:26" x14ac:dyDescent="0.4">
      <c r="A72" s="247" t="s">
        <v>93</v>
      </c>
      <c r="B72" s="154">
        <v>8</v>
      </c>
      <c r="C72" s="155">
        <v>8</v>
      </c>
      <c r="D72" s="156">
        <v>8</v>
      </c>
      <c r="E72" s="155">
        <v>8</v>
      </c>
      <c r="F72" s="155">
        <v>8</v>
      </c>
      <c r="G72" s="155">
        <v>8</v>
      </c>
      <c r="H72" s="156">
        <v>8</v>
      </c>
      <c r="I72" s="155">
        <v>8</v>
      </c>
      <c r="J72" s="155">
        <v>8</v>
      </c>
      <c r="K72" s="156">
        <v>8</v>
      </c>
      <c r="L72" s="155">
        <v>8</v>
      </c>
      <c r="M72" s="155">
        <v>8</v>
      </c>
      <c r="N72" s="155">
        <v>8</v>
      </c>
      <c r="O72" s="156">
        <v>8</v>
      </c>
      <c r="P72" s="155">
        <v>8</v>
      </c>
      <c r="Q72" s="155">
        <v>8</v>
      </c>
      <c r="R72" s="156">
        <v>8</v>
      </c>
      <c r="S72" s="155">
        <v>8</v>
      </c>
      <c r="T72" s="155">
        <v>8</v>
      </c>
      <c r="U72" s="155">
        <v>8</v>
      </c>
      <c r="V72" s="156">
        <v>8</v>
      </c>
      <c r="W72" s="155">
        <v>8</v>
      </c>
      <c r="X72" s="156">
        <v>8</v>
      </c>
      <c r="Y72" s="155">
        <v>8</v>
      </c>
      <c r="Z72" s="157">
        <v>8</v>
      </c>
    </row>
    <row r="73" spans="1:26" ht="24" customHeight="1" x14ac:dyDescent="0.4">
      <c r="A73" s="247"/>
      <c r="B73" s="159">
        <v>0.01</v>
      </c>
      <c r="C73" s="125">
        <v>0</v>
      </c>
      <c r="D73" s="160">
        <v>0</v>
      </c>
      <c r="E73" s="125">
        <v>0</v>
      </c>
      <c r="F73" s="125">
        <v>0</v>
      </c>
      <c r="G73" s="125">
        <v>0</v>
      </c>
      <c r="H73" s="160">
        <v>0</v>
      </c>
      <c r="I73" s="125">
        <v>0</v>
      </c>
      <c r="J73" s="125">
        <v>0</v>
      </c>
      <c r="K73" s="160">
        <v>0</v>
      </c>
      <c r="L73" s="125">
        <v>0</v>
      </c>
      <c r="M73" s="125">
        <v>0</v>
      </c>
      <c r="N73" s="125">
        <v>0</v>
      </c>
      <c r="O73" s="160">
        <v>0</v>
      </c>
      <c r="P73" s="125">
        <v>0</v>
      </c>
      <c r="Q73" s="125">
        <v>0</v>
      </c>
      <c r="R73" s="160">
        <v>0</v>
      </c>
      <c r="S73" s="125">
        <v>0</v>
      </c>
      <c r="T73" s="125">
        <v>0</v>
      </c>
      <c r="U73" s="125">
        <v>0</v>
      </c>
      <c r="V73" s="160">
        <v>0</v>
      </c>
      <c r="W73" s="125">
        <v>0</v>
      </c>
      <c r="X73" s="160">
        <v>0</v>
      </c>
      <c r="Y73" s="125">
        <v>0</v>
      </c>
      <c r="Z73" s="161">
        <v>0</v>
      </c>
    </row>
    <row r="74" spans="1:26" x14ac:dyDescent="0.4">
      <c r="A74" s="248"/>
      <c r="B74" s="158"/>
      <c r="C74" s="155"/>
      <c r="D74" s="156"/>
      <c r="E74" s="155"/>
      <c r="F74" s="155"/>
      <c r="G74" s="155"/>
      <c r="H74" s="156"/>
      <c r="I74" s="155"/>
      <c r="J74" s="155"/>
      <c r="K74" s="156"/>
      <c r="L74" s="155"/>
      <c r="M74" s="155"/>
      <c r="N74" s="155"/>
      <c r="O74" s="156"/>
      <c r="P74" s="155"/>
      <c r="Q74" s="155"/>
      <c r="R74" s="156"/>
      <c r="S74" s="155"/>
      <c r="T74" s="155"/>
      <c r="U74" s="155"/>
      <c r="V74" s="156"/>
      <c r="W74" s="155"/>
      <c r="X74" s="156"/>
      <c r="Y74" s="155"/>
      <c r="Z74" s="156"/>
    </row>
    <row r="75" spans="1:26" ht="24" customHeight="1" x14ac:dyDescent="0.4">
      <c r="A75" s="248"/>
      <c r="B75" s="163"/>
      <c r="C75" s="164"/>
      <c r="D75" s="165"/>
      <c r="E75" s="164"/>
      <c r="F75" s="164"/>
      <c r="G75" s="164"/>
      <c r="H75" s="165"/>
      <c r="I75" s="164"/>
      <c r="J75" s="164"/>
      <c r="K75" s="165"/>
      <c r="L75" s="164"/>
      <c r="M75" s="164"/>
      <c r="N75" s="164"/>
      <c r="O75" s="165"/>
      <c r="P75" s="164"/>
      <c r="Q75" s="164"/>
      <c r="R75" s="165"/>
      <c r="S75" s="164"/>
      <c r="T75" s="164"/>
      <c r="U75" s="164"/>
      <c r="V75" s="165"/>
      <c r="W75" s="164"/>
      <c r="X75" s="165"/>
      <c r="Y75" s="164"/>
      <c r="Z75" s="165"/>
    </row>
  </sheetData>
  <mergeCells count="39">
    <mergeCell ref="A68:A69"/>
    <mergeCell ref="A70:A71"/>
    <mergeCell ref="A72:A73"/>
    <mergeCell ref="A74:A75"/>
    <mergeCell ref="A58:A59"/>
    <mergeCell ref="A60:A61"/>
    <mergeCell ref="A62:A63"/>
    <mergeCell ref="A64:A65"/>
    <mergeCell ref="A66:A67"/>
    <mergeCell ref="A48:A49"/>
    <mergeCell ref="A50:A51"/>
    <mergeCell ref="A52:A53"/>
    <mergeCell ref="A54:A55"/>
    <mergeCell ref="A56:A57"/>
    <mergeCell ref="A38:A39"/>
    <mergeCell ref="A40:A41"/>
    <mergeCell ref="A42:A43"/>
    <mergeCell ref="A44:A45"/>
    <mergeCell ref="A46:A47"/>
    <mergeCell ref="A28:A29"/>
    <mergeCell ref="A30:A31"/>
    <mergeCell ref="A32:A33"/>
    <mergeCell ref="A34:A35"/>
    <mergeCell ref="A36:A37"/>
    <mergeCell ref="A18:A19"/>
    <mergeCell ref="A20:A21"/>
    <mergeCell ref="A22:A23"/>
    <mergeCell ref="A24:A25"/>
    <mergeCell ref="A26:A27"/>
    <mergeCell ref="S10:V10"/>
    <mergeCell ref="W10:X10"/>
    <mergeCell ref="Y10:Z10"/>
    <mergeCell ref="A10:A11"/>
    <mergeCell ref="A16:A17"/>
    <mergeCell ref="C10:D10"/>
    <mergeCell ref="E10:H10"/>
    <mergeCell ref="I10:K10"/>
    <mergeCell ref="L10:O10"/>
    <mergeCell ref="P10:R10"/>
  </mergeCells>
  <pageMargins left="0.7" right="0.7" top="0.75" bottom="0.75" header="0.511811023622047" footer="0.511811023622047"/>
  <pageSetup paperSize="9" orientation="portrait" useFirstPageNumber="1" horizontalDpi="300" verticalDpi="30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Feuil16"/>
  <dimension ref="A1:Z35"/>
  <sheetViews>
    <sheetView showGridLines="0" zoomScale="60" zoomScaleNormal="60" workbookViewId="0">
      <selection activeCell="A6" sqref="A6:XFD6"/>
    </sheetView>
  </sheetViews>
  <sheetFormatPr defaultColWidth="20.6328125" defaultRowHeight="19" customHeight="1" x14ac:dyDescent="0.4"/>
  <cols>
    <col min="1" max="1" width="100.6328125" style="104" customWidth="1"/>
    <col min="2" max="2" width="20.6328125" style="88" customWidth="1"/>
    <col min="3" max="22" width="20.6328125" style="87"/>
    <col min="23" max="16384" width="20.6328125" style="102"/>
  </cols>
  <sheetData>
    <row r="1" spans="1:26" x14ac:dyDescent="0.4">
      <c r="A1" s="103" t="s">
        <v>89</v>
      </c>
    </row>
    <row r="2" spans="1:26" x14ac:dyDescent="0.4">
      <c r="A2" s="104" t="s">
        <v>19</v>
      </c>
    </row>
    <row r="3" spans="1:26" x14ac:dyDescent="0.4">
      <c r="A3" s="105" t="s">
        <v>1</v>
      </c>
      <c r="C3" s="88"/>
      <c r="D3" s="88"/>
      <c r="E3" s="88"/>
      <c r="F3" s="88"/>
      <c r="G3" s="88"/>
      <c r="H3" s="88"/>
      <c r="I3" s="88"/>
      <c r="J3" s="88"/>
      <c r="K3" s="88"/>
      <c r="L3" s="88"/>
      <c r="M3" s="88"/>
      <c r="N3" s="88"/>
      <c r="O3" s="88"/>
      <c r="P3" s="88"/>
      <c r="Q3" s="88"/>
      <c r="R3" s="88"/>
      <c r="S3" s="88"/>
      <c r="T3" s="88"/>
      <c r="U3" s="88"/>
      <c r="V3" s="88"/>
    </row>
    <row r="4" spans="1:26" x14ac:dyDescent="0.4">
      <c r="A4" s="105" t="s">
        <v>2</v>
      </c>
    </row>
    <row r="6" spans="1:26" s="217" customFormat="1" ht="19" customHeight="1" x14ac:dyDescent="0.5">
      <c r="A6" s="122"/>
      <c r="B6" s="88"/>
      <c r="C6" s="88"/>
      <c r="D6" s="88"/>
      <c r="E6" s="88"/>
      <c r="F6" s="88"/>
      <c r="G6" s="88"/>
      <c r="H6" s="88"/>
      <c r="I6" s="88"/>
      <c r="J6" s="88"/>
      <c r="K6" s="88"/>
      <c r="L6" s="88"/>
      <c r="M6" s="88"/>
      <c r="N6" s="88"/>
      <c r="O6" s="88"/>
      <c r="P6" s="88"/>
      <c r="Q6" s="88"/>
      <c r="R6" s="88"/>
      <c r="S6" s="88"/>
      <c r="T6" s="88"/>
      <c r="U6" s="88"/>
      <c r="V6" s="88"/>
    </row>
    <row r="7" spans="1:26" ht="19.5" customHeight="1" x14ac:dyDescent="0.4">
      <c r="A7" s="106" t="s">
        <v>123</v>
      </c>
      <c r="B7" s="87"/>
    </row>
    <row r="8" spans="1:26" ht="19.5" customHeight="1" x14ac:dyDescent="0.4">
      <c r="A8" s="106" t="s">
        <v>124</v>
      </c>
    </row>
    <row r="9" spans="1:26" ht="19" customHeight="1" thickBot="1" x14ac:dyDescent="0.45">
      <c r="C9" s="107"/>
    </row>
    <row r="10" spans="1:26" ht="57" customHeight="1" thickBot="1" x14ac:dyDescent="0.45">
      <c r="A10" s="241"/>
      <c r="B10" s="108" t="s">
        <v>21</v>
      </c>
      <c r="C10" s="245" t="s">
        <v>22</v>
      </c>
      <c r="D10" s="237"/>
      <c r="E10" s="237" t="s">
        <v>23</v>
      </c>
      <c r="F10" s="237"/>
      <c r="G10" s="237"/>
      <c r="H10" s="237"/>
      <c r="I10" s="237" t="s">
        <v>24</v>
      </c>
      <c r="J10" s="237"/>
      <c r="K10" s="237"/>
      <c r="L10" s="237" t="s">
        <v>25</v>
      </c>
      <c r="M10" s="237"/>
      <c r="N10" s="237"/>
      <c r="O10" s="237"/>
      <c r="P10" s="237" t="s">
        <v>26</v>
      </c>
      <c r="Q10" s="237"/>
      <c r="R10" s="237"/>
      <c r="S10" s="237" t="s">
        <v>27</v>
      </c>
      <c r="T10" s="237"/>
      <c r="U10" s="237"/>
      <c r="V10" s="237"/>
      <c r="W10" s="237" t="s">
        <v>28</v>
      </c>
      <c r="X10" s="238"/>
      <c r="Y10" s="239" t="s">
        <v>29</v>
      </c>
      <c r="Z10" s="240"/>
    </row>
    <row r="11" spans="1:26" s="94" customFormat="1" ht="18.75" customHeight="1" thickBot="1" x14ac:dyDescent="0.4">
      <c r="A11" s="242"/>
      <c r="B11" s="152"/>
      <c r="C11" s="129" t="s">
        <v>30</v>
      </c>
      <c r="D11" s="131" t="s">
        <v>31</v>
      </c>
      <c r="E11" s="132" t="s">
        <v>32</v>
      </c>
      <c r="F11" s="132" t="s">
        <v>33</v>
      </c>
      <c r="G11" s="132" t="s">
        <v>34</v>
      </c>
      <c r="H11" s="131" t="s">
        <v>35</v>
      </c>
      <c r="I11" s="132" t="s">
        <v>36</v>
      </c>
      <c r="J11" s="132" t="s">
        <v>37</v>
      </c>
      <c r="K11" s="131" t="s">
        <v>38</v>
      </c>
      <c r="L11" s="132" t="s">
        <v>39</v>
      </c>
      <c r="M11" s="132" t="s">
        <v>40</v>
      </c>
      <c r="N11" s="132" t="s">
        <v>41</v>
      </c>
      <c r="O11" s="131" t="s">
        <v>42</v>
      </c>
      <c r="P11" s="132" t="s">
        <v>43</v>
      </c>
      <c r="Q11" s="132" t="s">
        <v>44</v>
      </c>
      <c r="R11" s="131" t="s">
        <v>45</v>
      </c>
      <c r="S11" s="132">
        <v>1</v>
      </c>
      <c r="T11" s="132">
        <v>2</v>
      </c>
      <c r="U11" s="132">
        <v>3</v>
      </c>
      <c r="V11" s="131" t="s">
        <v>46</v>
      </c>
      <c r="W11" s="132" t="s">
        <v>47</v>
      </c>
      <c r="X11" s="131" t="s">
        <v>48</v>
      </c>
      <c r="Y11" s="132" t="s">
        <v>47</v>
      </c>
      <c r="Z11" s="133" t="s">
        <v>48</v>
      </c>
    </row>
    <row r="12" spans="1:26" s="94" customFormat="1" ht="18.75" customHeight="1" x14ac:dyDescent="0.35">
      <c r="A12" s="130"/>
      <c r="B12" s="110"/>
      <c r="C12" s="127"/>
      <c r="D12" s="128"/>
      <c r="E12" s="129"/>
      <c r="F12" s="129"/>
      <c r="G12" s="129"/>
      <c r="H12" s="128"/>
      <c r="I12" s="129"/>
      <c r="J12" s="129"/>
      <c r="K12" s="128"/>
      <c r="L12" s="129"/>
      <c r="M12" s="129"/>
      <c r="N12" s="129"/>
      <c r="O12" s="128"/>
      <c r="P12" s="129"/>
      <c r="Q12" s="129"/>
      <c r="R12" s="128"/>
      <c r="S12" s="129"/>
      <c r="T12" s="129"/>
      <c r="U12" s="129"/>
      <c r="V12" s="128"/>
      <c r="W12" s="129"/>
      <c r="X12" s="128"/>
      <c r="Y12" s="129"/>
      <c r="Z12" s="128"/>
    </row>
    <row r="13" spans="1:26" s="93" customFormat="1" ht="21" customHeight="1" x14ac:dyDescent="0.35">
      <c r="A13" s="134" t="s">
        <v>49</v>
      </c>
      <c r="B13" s="146">
        <v>1032</v>
      </c>
      <c r="C13" s="135">
        <v>0</v>
      </c>
      <c r="D13" s="136">
        <v>0</v>
      </c>
      <c r="E13" s="135">
        <v>0</v>
      </c>
      <c r="F13" s="135">
        <v>0</v>
      </c>
      <c r="G13" s="135">
        <v>0</v>
      </c>
      <c r="H13" s="136">
        <v>0</v>
      </c>
      <c r="I13" s="135">
        <v>0</v>
      </c>
      <c r="J13" s="135">
        <v>0</v>
      </c>
      <c r="K13" s="136">
        <v>0</v>
      </c>
      <c r="L13" s="135">
        <v>0</v>
      </c>
      <c r="M13" s="135">
        <v>0</v>
      </c>
      <c r="N13" s="135">
        <v>0</v>
      </c>
      <c r="O13" s="136">
        <v>0</v>
      </c>
      <c r="P13" s="135">
        <v>0</v>
      </c>
      <c r="Q13" s="135">
        <v>0</v>
      </c>
      <c r="R13" s="136">
        <v>0</v>
      </c>
      <c r="S13" s="135">
        <v>0</v>
      </c>
      <c r="T13" s="135">
        <v>0</v>
      </c>
      <c r="U13" s="135">
        <v>0</v>
      </c>
      <c r="V13" s="136">
        <v>0</v>
      </c>
      <c r="W13" s="135">
        <v>0</v>
      </c>
      <c r="X13" s="136">
        <v>0</v>
      </c>
      <c r="Y13" s="135">
        <v>0</v>
      </c>
      <c r="Z13" s="137">
        <v>0</v>
      </c>
    </row>
    <row r="14" spans="1:26" s="87" customFormat="1" ht="24" customHeight="1" x14ac:dyDescent="0.35">
      <c r="A14" s="112" t="s">
        <v>50</v>
      </c>
      <c r="B14" s="146">
        <v>873</v>
      </c>
      <c r="C14" s="88">
        <v>11722</v>
      </c>
      <c r="D14" s="113">
        <v>14579</v>
      </c>
      <c r="E14" s="88">
        <v>4121</v>
      </c>
      <c r="F14" s="88">
        <v>7939</v>
      </c>
      <c r="G14" s="88">
        <v>6541</v>
      </c>
      <c r="H14" s="113">
        <v>7814</v>
      </c>
      <c r="I14" s="88">
        <v>4942</v>
      </c>
      <c r="J14" s="88">
        <v>10167</v>
      </c>
      <c r="K14" s="113">
        <v>5859</v>
      </c>
      <c r="L14" s="88">
        <v>2922</v>
      </c>
      <c r="M14" s="88">
        <v>12891</v>
      </c>
      <c r="N14" s="88">
        <v>2933</v>
      </c>
      <c r="O14" s="113">
        <v>7076</v>
      </c>
      <c r="P14" s="88">
        <v>9810</v>
      </c>
      <c r="Q14" s="88">
        <v>9700</v>
      </c>
      <c r="R14" s="113">
        <v>6698</v>
      </c>
      <c r="S14" s="88">
        <v>5934</v>
      </c>
      <c r="T14" s="88">
        <v>9829</v>
      </c>
      <c r="U14" s="88">
        <v>3817</v>
      </c>
      <c r="V14" s="113">
        <v>6769</v>
      </c>
      <c r="W14" s="88">
        <v>11722</v>
      </c>
      <c r="X14" s="113">
        <v>14579</v>
      </c>
      <c r="Y14" s="88">
        <v>11722</v>
      </c>
      <c r="Z14" s="114">
        <v>14579</v>
      </c>
    </row>
    <row r="15" spans="1:26" s="93" customFormat="1" ht="21" customHeight="1" thickBot="1" x14ac:dyDescent="0.4">
      <c r="A15" s="138"/>
      <c r="B15" s="4"/>
      <c r="C15" s="139"/>
      <c r="D15" s="136"/>
      <c r="E15" s="135"/>
      <c r="F15" s="135"/>
      <c r="G15" s="135"/>
      <c r="H15" s="136"/>
      <c r="I15" s="135"/>
      <c r="J15" s="135"/>
      <c r="K15" s="136"/>
      <c r="L15" s="135"/>
      <c r="M15" s="135"/>
      <c r="N15" s="135"/>
      <c r="O15" s="136"/>
      <c r="P15" s="135"/>
      <c r="Q15" s="135"/>
      <c r="R15" s="136"/>
      <c r="S15" s="135"/>
      <c r="T15" s="135"/>
      <c r="U15" s="135"/>
      <c r="V15" s="136"/>
      <c r="W15" s="135"/>
      <c r="X15" s="136"/>
      <c r="Y15" s="135"/>
      <c r="Z15" s="136"/>
    </row>
    <row r="16" spans="1:26" s="87" customFormat="1" ht="24" customHeight="1" thickBot="1" x14ac:dyDescent="0.4">
      <c r="A16" s="243" t="s">
        <v>125</v>
      </c>
      <c r="B16" s="147">
        <v>873</v>
      </c>
      <c r="C16" s="87">
        <v>345</v>
      </c>
      <c r="D16" s="116">
        <v>493</v>
      </c>
      <c r="E16" s="117">
        <v>135</v>
      </c>
      <c r="F16" s="117">
        <v>227</v>
      </c>
      <c r="G16" s="117">
        <v>266</v>
      </c>
      <c r="H16" s="116">
        <v>221</v>
      </c>
      <c r="I16" s="117">
        <v>137</v>
      </c>
      <c r="J16" s="117">
        <v>304</v>
      </c>
      <c r="K16" s="116">
        <v>248</v>
      </c>
      <c r="L16" s="117">
        <v>87</v>
      </c>
      <c r="M16" s="117">
        <v>378</v>
      </c>
      <c r="N16" s="117">
        <v>132</v>
      </c>
      <c r="O16" s="116">
        <v>232</v>
      </c>
      <c r="P16" s="117">
        <v>339</v>
      </c>
      <c r="Q16" s="117">
        <v>307</v>
      </c>
      <c r="R16" s="116">
        <v>196</v>
      </c>
      <c r="S16" s="117">
        <v>194</v>
      </c>
      <c r="T16" s="117">
        <v>298</v>
      </c>
      <c r="U16" s="117">
        <v>146</v>
      </c>
      <c r="V16" s="116">
        <v>211</v>
      </c>
      <c r="W16" s="117">
        <v>345</v>
      </c>
      <c r="X16" s="116">
        <v>493</v>
      </c>
      <c r="Y16" s="117">
        <v>345</v>
      </c>
      <c r="Z16" s="118">
        <v>493</v>
      </c>
    </row>
    <row r="17" spans="1:26" s="93" customFormat="1" ht="21" customHeight="1" x14ac:dyDescent="0.35">
      <c r="A17" s="244"/>
      <c r="B17" s="148">
        <v>1</v>
      </c>
      <c r="C17" s="140">
        <v>0.03</v>
      </c>
      <c r="D17" s="141">
        <v>0.03</v>
      </c>
      <c r="E17" s="140">
        <v>0.03</v>
      </c>
      <c r="F17" s="140">
        <v>0.03</v>
      </c>
      <c r="G17" s="140">
        <v>0.04</v>
      </c>
      <c r="H17" s="141">
        <v>0.03</v>
      </c>
      <c r="I17" s="140">
        <v>0.03</v>
      </c>
      <c r="J17" s="140">
        <v>0.03</v>
      </c>
      <c r="K17" s="141">
        <v>0.04</v>
      </c>
      <c r="L17" s="140">
        <v>0.03</v>
      </c>
      <c r="M17" s="140">
        <v>0.03</v>
      </c>
      <c r="N17" s="140">
        <v>0.05</v>
      </c>
      <c r="O17" s="141">
        <v>0.03</v>
      </c>
      <c r="P17" s="140">
        <v>0.03</v>
      </c>
      <c r="Q17" s="140">
        <v>0.03</v>
      </c>
      <c r="R17" s="141">
        <v>0.03</v>
      </c>
      <c r="S17" s="140">
        <v>0.03</v>
      </c>
      <c r="T17" s="140">
        <v>0.03</v>
      </c>
      <c r="U17" s="140">
        <v>0.04</v>
      </c>
      <c r="V17" s="141">
        <v>0.03</v>
      </c>
      <c r="W17" s="140">
        <v>0.03</v>
      </c>
      <c r="X17" s="141">
        <v>0.03</v>
      </c>
      <c r="Y17" s="140">
        <v>0.03</v>
      </c>
      <c r="Z17" s="142">
        <v>0.03</v>
      </c>
    </row>
    <row r="18" spans="1:26" s="87" customFormat="1" ht="24" customHeight="1" x14ac:dyDescent="0.35">
      <c r="A18" s="235" t="s">
        <v>126</v>
      </c>
      <c r="B18" s="146">
        <v>0</v>
      </c>
      <c r="C18" s="87">
        <v>0</v>
      </c>
      <c r="D18" s="120">
        <v>0</v>
      </c>
      <c r="E18" s="87">
        <v>0</v>
      </c>
      <c r="F18" s="87">
        <v>0</v>
      </c>
      <c r="G18" s="87">
        <v>0</v>
      </c>
      <c r="H18" s="120">
        <v>0</v>
      </c>
      <c r="I18" s="87">
        <v>0</v>
      </c>
      <c r="J18" s="87">
        <v>0</v>
      </c>
      <c r="K18" s="120">
        <v>0</v>
      </c>
      <c r="L18" s="87">
        <v>0</v>
      </c>
      <c r="M18" s="87">
        <v>0</v>
      </c>
      <c r="N18" s="87">
        <v>0</v>
      </c>
      <c r="O18" s="120">
        <v>0</v>
      </c>
      <c r="P18" s="87">
        <v>0</v>
      </c>
      <c r="Q18" s="87">
        <v>0</v>
      </c>
      <c r="R18" s="120">
        <v>0</v>
      </c>
      <c r="S18" s="87">
        <v>0</v>
      </c>
      <c r="T18" s="87">
        <v>0</v>
      </c>
      <c r="U18" s="87">
        <v>0</v>
      </c>
      <c r="V18" s="120">
        <v>0</v>
      </c>
      <c r="W18" s="87">
        <v>0</v>
      </c>
      <c r="X18" s="120">
        <v>0</v>
      </c>
      <c r="Y18" s="87">
        <v>0</v>
      </c>
      <c r="Z18" s="121">
        <v>0</v>
      </c>
    </row>
    <row r="19" spans="1:26" s="93" customFormat="1" ht="21" customHeight="1" x14ac:dyDescent="0.35">
      <c r="A19" s="236"/>
      <c r="B19" s="148">
        <v>0</v>
      </c>
      <c r="C19" s="140">
        <v>0</v>
      </c>
      <c r="D19" s="141">
        <v>0</v>
      </c>
      <c r="E19" s="140">
        <v>0</v>
      </c>
      <c r="F19" s="140">
        <v>0</v>
      </c>
      <c r="G19" s="140">
        <v>0</v>
      </c>
      <c r="H19" s="141">
        <v>0</v>
      </c>
      <c r="I19" s="140">
        <v>0</v>
      </c>
      <c r="J19" s="140">
        <v>0</v>
      </c>
      <c r="K19" s="141">
        <v>0</v>
      </c>
      <c r="L19" s="140">
        <v>0</v>
      </c>
      <c r="M19" s="140">
        <v>0</v>
      </c>
      <c r="N19" s="140">
        <v>0</v>
      </c>
      <c r="O19" s="141">
        <v>0</v>
      </c>
      <c r="P19" s="140">
        <v>0</v>
      </c>
      <c r="Q19" s="140">
        <v>0</v>
      </c>
      <c r="R19" s="141">
        <v>0</v>
      </c>
      <c r="S19" s="140">
        <v>0</v>
      </c>
      <c r="T19" s="140">
        <v>0</v>
      </c>
      <c r="U19" s="140">
        <v>0</v>
      </c>
      <c r="V19" s="141">
        <v>0</v>
      </c>
      <c r="W19" s="140">
        <v>0</v>
      </c>
      <c r="X19" s="141">
        <v>0</v>
      </c>
      <c r="Y19" s="140">
        <v>0</v>
      </c>
      <c r="Z19" s="142">
        <v>0</v>
      </c>
    </row>
    <row r="20" spans="1:26" s="87" customFormat="1" ht="24" customHeight="1" x14ac:dyDescent="0.35">
      <c r="A20" s="119"/>
      <c r="B20" s="149"/>
      <c r="D20" s="120"/>
      <c r="H20" s="120"/>
      <c r="K20" s="120"/>
      <c r="O20" s="120"/>
      <c r="R20" s="120"/>
      <c r="V20" s="120"/>
      <c r="X20" s="120"/>
      <c r="Z20" s="120"/>
    </row>
    <row r="21" spans="1:26" s="93" customFormat="1" ht="21" customHeight="1" thickBot="1" x14ac:dyDescent="0.4">
      <c r="A21" s="143"/>
      <c r="B21" s="150"/>
      <c r="C21" s="144"/>
      <c r="D21" s="145"/>
      <c r="E21" s="144"/>
      <c r="F21" s="144"/>
      <c r="G21" s="144"/>
      <c r="H21" s="145"/>
      <c r="I21" s="144"/>
      <c r="J21" s="144"/>
      <c r="K21" s="145"/>
      <c r="L21" s="144"/>
      <c r="M21" s="144"/>
      <c r="N21" s="144"/>
      <c r="O21" s="145"/>
      <c r="P21" s="144"/>
      <c r="Q21" s="144"/>
      <c r="R21" s="145"/>
      <c r="S21" s="144"/>
      <c r="T21" s="144"/>
      <c r="U21" s="144"/>
      <c r="V21" s="145"/>
      <c r="W21" s="144"/>
      <c r="X21" s="145"/>
      <c r="Y21" s="144"/>
      <c r="Z21" s="145"/>
    </row>
    <row r="22" spans="1:26" s="87" customFormat="1" ht="24" customHeight="1" x14ac:dyDescent="0.35">
      <c r="B22" s="28"/>
    </row>
    <row r="23" spans="1:26" s="93" customFormat="1" ht="21" customHeight="1" x14ac:dyDescent="0.35">
      <c r="B23" s="151"/>
      <c r="C23" s="140"/>
      <c r="D23" s="140"/>
      <c r="E23" s="140"/>
      <c r="F23" s="140"/>
      <c r="G23" s="140"/>
      <c r="H23" s="140"/>
      <c r="I23" s="140"/>
      <c r="J23" s="140"/>
      <c r="K23" s="140"/>
      <c r="L23" s="140"/>
      <c r="M23" s="140"/>
      <c r="N23" s="140"/>
      <c r="O23" s="140"/>
      <c r="P23" s="140"/>
      <c r="Q23" s="140"/>
      <c r="R23" s="140"/>
      <c r="S23" s="140"/>
      <c r="T23" s="140"/>
      <c r="U23" s="140"/>
      <c r="V23" s="140"/>
    </row>
    <row r="24" spans="1:26" s="87" customFormat="1" ht="24" customHeight="1" x14ac:dyDescent="0.35">
      <c r="B24" s="28"/>
    </row>
    <row r="25" spans="1:26" s="93" customFormat="1" ht="21" customHeight="1" x14ac:dyDescent="0.35">
      <c r="B25" s="151"/>
      <c r="C25" s="140"/>
      <c r="D25" s="140"/>
      <c r="E25" s="140"/>
      <c r="F25" s="140"/>
      <c r="G25" s="140"/>
      <c r="H25" s="140"/>
      <c r="I25" s="140"/>
      <c r="J25" s="140"/>
      <c r="K25" s="140"/>
      <c r="L25" s="140"/>
      <c r="M25" s="140"/>
      <c r="N25" s="140"/>
      <c r="O25" s="140"/>
      <c r="P25" s="140"/>
      <c r="Q25" s="140"/>
      <c r="R25" s="140"/>
      <c r="S25" s="140"/>
      <c r="T25" s="140"/>
      <c r="U25" s="140"/>
      <c r="V25" s="140"/>
    </row>
    <row r="26" spans="1:26" s="87" customFormat="1" ht="24" customHeight="1" x14ac:dyDescent="0.35">
      <c r="B26" s="28"/>
    </row>
    <row r="27" spans="1:26" ht="24" customHeight="1" x14ac:dyDescent="0.4">
      <c r="B27" s="123"/>
      <c r="C27" s="124"/>
      <c r="D27" s="124"/>
      <c r="E27" s="124"/>
      <c r="F27" s="124"/>
      <c r="G27" s="124"/>
      <c r="H27" s="124"/>
      <c r="I27" s="124"/>
      <c r="J27" s="124"/>
      <c r="K27" s="124"/>
      <c r="L27" s="124"/>
      <c r="M27" s="124"/>
      <c r="N27" s="124"/>
      <c r="O27" s="124"/>
      <c r="P27" s="124"/>
      <c r="Q27" s="124"/>
      <c r="R27" s="124"/>
      <c r="S27" s="125"/>
      <c r="T27" s="125"/>
      <c r="U27" s="125"/>
      <c r="V27" s="125"/>
    </row>
    <row r="28" spans="1:26" x14ac:dyDescent="0.4">
      <c r="B28" s="111"/>
      <c r="C28" s="90"/>
      <c r="D28" s="90"/>
      <c r="E28" s="90"/>
      <c r="F28" s="90"/>
      <c r="G28" s="90"/>
      <c r="H28" s="90"/>
      <c r="I28" s="90"/>
      <c r="J28" s="90"/>
      <c r="K28" s="90"/>
      <c r="L28" s="90"/>
      <c r="M28" s="90"/>
      <c r="N28" s="90"/>
      <c r="O28" s="90"/>
      <c r="P28" s="90"/>
      <c r="Q28" s="90"/>
      <c r="R28" s="90"/>
      <c r="S28" s="90"/>
      <c r="T28" s="90"/>
      <c r="U28" s="90"/>
      <c r="V28" s="90"/>
    </row>
    <row r="29" spans="1:26" ht="24" customHeight="1" x14ac:dyDescent="0.4">
      <c r="B29" s="126"/>
      <c r="C29" s="124"/>
      <c r="D29" s="124"/>
      <c r="E29" s="124"/>
      <c r="F29" s="124"/>
      <c r="G29" s="124"/>
      <c r="H29" s="124"/>
      <c r="I29" s="124"/>
      <c r="J29" s="124"/>
      <c r="K29" s="124"/>
      <c r="L29" s="124"/>
      <c r="M29" s="124"/>
      <c r="N29" s="124"/>
      <c r="O29" s="124"/>
      <c r="P29" s="124"/>
      <c r="Q29" s="124"/>
      <c r="R29" s="124"/>
      <c r="S29" s="125"/>
      <c r="T29" s="125"/>
      <c r="U29" s="125"/>
      <c r="V29" s="125"/>
    </row>
    <row r="30" spans="1:26" x14ac:dyDescent="0.4">
      <c r="B30" s="111"/>
      <c r="C30" s="90"/>
      <c r="D30" s="90"/>
      <c r="E30" s="90"/>
      <c r="F30" s="90"/>
      <c r="G30" s="90"/>
      <c r="H30" s="90"/>
      <c r="I30" s="90"/>
      <c r="J30" s="90"/>
      <c r="K30" s="90"/>
      <c r="L30" s="90"/>
      <c r="M30" s="90"/>
      <c r="N30" s="90"/>
      <c r="O30" s="90"/>
      <c r="P30" s="90"/>
      <c r="Q30" s="90"/>
      <c r="R30" s="90"/>
      <c r="S30" s="90"/>
      <c r="T30" s="90"/>
      <c r="U30" s="90"/>
      <c r="V30" s="90"/>
    </row>
    <row r="31" spans="1:26" ht="24" customHeight="1" x14ac:dyDescent="0.4">
      <c r="B31" s="123"/>
      <c r="C31" s="124"/>
      <c r="D31" s="124"/>
      <c r="E31" s="124"/>
      <c r="F31" s="124"/>
      <c r="G31" s="124"/>
      <c r="H31" s="124"/>
      <c r="I31" s="124"/>
      <c r="J31" s="124"/>
      <c r="K31" s="124"/>
      <c r="L31" s="124"/>
      <c r="M31" s="124"/>
      <c r="N31" s="124"/>
      <c r="O31" s="124"/>
      <c r="P31" s="124"/>
      <c r="Q31" s="124"/>
      <c r="R31" s="124"/>
      <c r="S31" s="125"/>
      <c r="T31" s="125"/>
      <c r="U31" s="125"/>
      <c r="V31" s="125"/>
    </row>
    <row r="32" spans="1:26" x14ac:dyDescent="0.4">
      <c r="B32" s="111"/>
      <c r="C32" s="90"/>
      <c r="D32" s="90"/>
      <c r="E32" s="90"/>
      <c r="F32" s="90"/>
      <c r="G32" s="90"/>
      <c r="H32" s="90"/>
      <c r="I32" s="90"/>
      <c r="J32" s="90"/>
      <c r="K32" s="90"/>
      <c r="L32" s="90"/>
      <c r="M32" s="90"/>
      <c r="N32" s="90"/>
      <c r="O32" s="90"/>
      <c r="P32" s="90"/>
      <c r="Q32" s="90"/>
      <c r="R32" s="90"/>
      <c r="S32" s="90"/>
      <c r="T32" s="90"/>
      <c r="U32" s="90"/>
      <c r="V32" s="90"/>
    </row>
    <row r="33" spans="2:22" ht="24" customHeight="1" x14ac:dyDescent="0.4">
      <c r="B33" s="123"/>
      <c r="C33" s="124"/>
      <c r="D33" s="124"/>
      <c r="E33" s="124"/>
      <c r="F33" s="124"/>
      <c r="G33" s="124"/>
      <c r="H33" s="124"/>
      <c r="I33" s="124"/>
      <c r="J33" s="124"/>
      <c r="K33" s="124"/>
      <c r="L33" s="124"/>
      <c r="M33" s="124"/>
      <c r="N33" s="124"/>
      <c r="O33" s="124"/>
      <c r="P33" s="124"/>
      <c r="Q33" s="124"/>
      <c r="R33" s="124"/>
      <c r="S33" s="125"/>
      <c r="T33" s="125"/>
      <c r="U33" s="125"/>
      <c r="V33" s="125"/>
    </row>
    <row r="34" spans="2:22" x14ac:dyDescent="0.4">
      <c r="B34" s="111"/>
      <c r="C34" s="90"/>
      <c r="D34" s="90"/>
      <c r="E34" s="90"/>
      <c r="F34" s="90"/>
      <c r="G34" s="90"/>
      <c r="H34" s="90"/>
      <c r="I34" s="90"/>
      <c r="J34" s="90"/>
      <c r="K34" s="90"/>
      <c r="L34" s="90"/>
      <c r="M34" s="90"/>
      <c r="N34" s="90"/>
      <c r="O34" s="90"/>
      <c r="P34" s="90"/>
      <c r="Q34" s="90"/>
      <c r="R34" s="90"/>
      <c r="S34" s="90"/>
      <c r="T34" s="90"/>
      <c r="U34" s="90"/>
      <c r="V34" s="90"/>
    </row>
    <row r="35" spans="2:22" ht="24" customHeight="1" x14ac:dyDescent="0.4">
      <c r="B35" s="123"/>
      <c r="C35" s="124"/>
      <c r="D35" s="124"/>
      <c r="E35" s="124"/>
      <c r="F35" s="124"/>
      <c r="G35" s="124"/>
      <c r="H35" s="124"/>
      <c r="I35" s="124"/>
      <c r="J35" s="124"/>
      <c r="K35" s="124"/>
      <c r="L35" s="124"/>
      <c r="M35" s="124"/>
      <c r="N35" s="124"/>
      <c r="O35" s="124"/>
      <c r="P35" s="124"/>
      <c r="Q35" s="124"/>
      <c r="R35" s="124"/>
      <c r="S35" s="125"/>
      <c r="T35" s="125"/>
      <c r="U35" s="125"/>
      <c r="V35" s="125"/>
    </row>
  </sheetData>
  <mergeCells count="11">
    <mergeCell ref="A18:A19"/>
    <mergeCell ref="S10:V10"/>
    <mergeCell ref="W10:X10"/>
    <mergeCell ref="Y10:Z10"/>
    <mergeCell ref="A10:A11"/>
    <mergeCell ref="A16:A17"/>
    <mergeCell ref="C10:D10"/>
    <mergeCell ref="E10:H10"/>
    <mergeCell ref="I10:K10"/>
    <mergeCell ref="L10:O10"/>
    <mergeCell ref="P10:R10"/>
  </mergeCells>
  <pageMargins left="0.7" right="0.7" top="0.75" bottom="0.75" header="0.511811023622047" footer="0.511811023622047"/>
  <pageSetup paperSize="9" orientation="portrait" useFirstPageNumber="1" horizontalDpi="300" verticalDpi="30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Feuil17"/>
  <dimension ref="A1:Z391"/>
  <sheetViews>
    <sheetView showGridLines="0" zoomScale="60" zoomScaleNormal="60" workbookViewId="0">
      <selection activeCell="A6" sqref="A6:XFD6"/>
    </sheetView>
  </sheetViews>
  <sheetFormatPr defaultColWidth="20.6328125" defaultRowHeight="19" customHeight="1" x14ac:dyDescent="0.4"/>
  <cols>
    <col min="1" max="1" width="100.6328125" style="104" customWidth="1"/>
    <col min="2" max="2" width="20.6328125" style="88" customWidth="1"/>
    <col min="3" max="22" width="20.6328125" style="87"/>
    <col min="23" max="16384" width="20.6328125" style="102"/>
  </cols>
  <sheetData>
    <row r="1" spans="1:26" x14ac:dyDescent="0.4">
      <c r="A1" s="103" t="s">
        <v>89</v>
      </c>
    </row>
    <row r="2" spans="1:26" x14ac:dyDescent="0.4">
      <c r="A2" s="104" t="s">
        <v>19</v>
      </c>
    </row>
    <row r="3" spans="1:26" x14ac:dyDescent="0.4">
      <c r="A3" s="105" t="s">
        <v>1</v>
      </c>
      <c r="C3" s="88"/>
      <c r="D3" s="88"/>
      <c r="E3" s="88"/>
      <c r="F3" s="88"/>
      <c r="G3" s="88"/>
      <c r="H3" s="88"/>
      <c r="I3" s="88"/>
      <c r="J3" s="88"/>
      <c r="K3" s="88"/>
      <c r="L3" s="88"/>
      <c r="M3" s="88"/>
      <c r="N3" s="88"/>
      <c r="O3" s="88"/>
      <c r="P3" s="88"/>
      <c r="Q3" s="88"/>
      <c r="R3" s="88"/>
      <c r="S3" s="88"/>
      <c r="T3" s="88"/>
      <c r="U3" s="88"/>
      <c r="V3" s="88"/>
    </row>
    <row r="4" spans="1:26" x14ac:dyDescent="0.4">
      <c r="A4" s="105" t="s">
        <v>2</v>
      </c>
    </row>
    <row r="6" spans="1:26" s="217" customFormat="1" ht="19" customHeight="1" x14ac:dyDescent="0.5">
      <c r="A6" s="122"/>
      <c r="B6" s="88"/>
      <c r="C6" s="88"/>
      <c r="D6" s="88"/>
      <c r="E6" s="88"/>
      <c r="F6" s="88"/>
      <c r="G6" s="88"/>
      <c r="H6" s="88"/>
      <c r="I6" s="88"/>
      <c r="J6" s="88"/>
      <c r="K6" s="88"/>
      <c r="L6" s="88"/>
      <c r="M6" s="88"/>
      <c r="N6" s="88"/>
      <c r="O6" s="88"/>
      <c r="P6" s="88"/>
      <c r="Q6" s="88"/>
      <c r="R6" s="88"/>
      <c r="S6" s="88"/>
      <c r="T6" s="88"/>
      <c r="U6" s="88"/>
      <c r="V6" s="88"/>
    </row>
    <row r="7" spans="1:26" ht="19.5" customHeight="1" x14ac:dyDescent="0.4">
      <c r="A7" s="106" t="s">
        <v>127</v>
      </c>
      <c r="B7" s="87"/>
    </row>
    <row r="8" spans="1:26" ht="19.5" customHeight="1" x14ac:dyDescent="0.4">
      <c r="A8" s="106" t="s">
        <v>7</v>
      </c>
    </row>
    <row r="9" spans="1:26" ht="19" customHeight="1" thickBot="1" x14ac:dyDescent="0.45">
      <c r="C9" s="107"/>
    </row>
    <row r="10" spans="1:26" ht="57" customHeight="1" thickBot="1" x14ac:dyDescent="0.45">
      <c r="A10" s="241"/>
      <c r="B10" s="108" t="s">
        <v>21</v>
      </c>
      <c r="C10" s="245" t="s">
        <v>22</v>
      </c>
      <c r="D10" s="237"/>
      <c r="E10" s="237" t="s">
        <v>23</v>
      </c>
      <c r="F10" s="237"/>
      <c r="G10" s="237"/>
      <c r="H10" s="237"/>
      <c r="I10" s="237" t="s">
        <v>24</v>
      </c>
      <c r="J10" s="237"/>
      <c r="K10" s="237"/>
      <c r="L10" s="237" t="s">
        <v>25</v>
      </c>
      <c r="M10" s="237"/>
      <c r="N10" s="237"/>
      <c r="O10" s="237"/>
      <c r="P10" s="237" t="s">
        <v>26</v>
      </c>
      <c r="Q10" s="237"/>
      <c r="R10" s="237"/>
      <c r="S10" s="237" t="s">
        <v>27</v>
      </c>
      <c r="T10" s="237"/>
      <c r="U10" s="237"/>
      <c r="V10" s="237"/>
      <c r="W10" s="237" t="s">
        <v>28</v>
      </c>
      <c r="X10" s="238"/>
      <c r="Y10" s="239" t="s">
        <v>29</v>
      </c>
      <c r="Z10" s="240"/>
    </row>
    <row r="11" spans="1:26" s="94" customFormat="1" ht="18.75" customHeight="1" thickBot="1" x14ac:dyDescent="0.4">
      <c r="A11" s="242"/>
      <c r="B11" s="166"/>
      <c r="C11" s="129" t="s">
        <v>30</v>
      </c>
      <c r="D11" s="131" t="s">
        <v>31</v>
      </c>
      <c r="E11" s="132" t="s">
        <v>32</v>
      </c>
      <c r="F11" s="132" t="s">
        <v>33</v>
      </c>
      <c r="G11" s="132" t="s">
        <v>34</v>
      </c>
      <c r="H11" s="131" t="s">
        <v>35</v>
      </c>
      <c r="I11" s="132" t="s">
        <v>36</v>
      </c>
      <c r="J11" s="132" t="s">
        <v>37</v>
      </c>
      <c r="K11" s="131" t="s">
        <v>38</v>
      </c>
      <c r="L11" s="132" t="s">
        <v>39</v>
      </c>
      <c r="M11" s="132" t="s">
        <v>40</v>
      </c>
      <c r="N11" s="132" t="s">
        <v>41</v>
      </c>
      <c r="O11" s="131" t="s">
        <v>42</v>
      </c>
      <c r="P11" s="132" t="s">
        <v>43</v>
      </c>
      <c r="Q11" s="132" t="s">
        <v>44</v>
      </c>
      <c r="R11" s="131" t="s">
        <v>45</v>
      </c>
      <c r="S11" s="132">
        <v>1</v>
      </c>
      <c r="T11" s="132">
        <v>2</v>
      </c>
      <c r="U11" s="132">
        <v>3</v>
      </c>
      <c r="V11" s="131" t="s">
        <v>46</v>
      </c>
      <c r="W11" s="132" t="s">
        <v>47</v>
      </c>
      <c r="X11" s="131" t="s">
        <v>48</v>
      </c>
      <c r="Y11" s="132" t="s">
        <v>47</v>
      </c>
      <c r="Z11" s="133" t="s">
        <v>48</v>
      </c>
    </row>
    <row r="12" spans="1:26" s="94" customFormat="1" ht="18.75" customHeight="1" x14ac:dyDescent="0.35">
      <c r="A12" s="130"/>
      <c r="B12" s="110"/>
      <c r="C12" s="127"/>
      <c r="D12" s="128"/>
      <c r="E12" s="129"/>
      <c r="F12" s="129"/>
      <c r="G12" s="129"/>
      <c r="H12" s="128"/>
      <c r="I12" s="129"/>
      <c r="J12" s="129"/>
      <c r="K12" s="128"/>
      <c r="L12" s="129"/>
      <c r="M12" s="129"/>
      <c r="N12" s="129"/>
      <c r="O12" s="128"/>
      <c r="P12" s="129"/>
      <c r="Q12" s="129"/>
      <c r="R12" s="128"/>
      <c r="S12" s="129"/>
      <c r="T12" s="129"/>
      <c r="U12" s="129"/>
      <c r="V12" s="128"/>
      <c r="W12" s="129"/>
      <c r="X12" s="128"/>
      <c r="Y12" s="129"/>
      <c r="Z12" s="128"/>
    </row>
    <row r="13" spans="1:26" s="93" customFormat="1" ht="21" customHeight="1" x14ac:dyDescent="0.35">
      <c r="A13" s="134" t="s">
        <v>49</v>
      </c>
      <c r="B13" s="146">
        <v>27290</v>
      </c>
      <c r="C13" s="135">
        <v>13486</v>
      </c>
      <c r="D13" s="136">
        <v>13685</v>
      </c>
      <c r="E13" s="135">
        <v>3682</v>
      </c>
      <c r="F13" s="135">
        <v>7665</v>
      </c>
      <c r="G13" s="135">
        <v>7751</v>
      </c>
      <c r="H13" s="136">
        <v>8192</v>
      </c>
      <c r="I13" s="135">
        <v>3493</v>
      </c>
      <c r="J13" s="135">
        <v>8886</v>
      </c>
      <c r="K13" s="136">
        <v>14911</v>
      </c>
      <c r="L13" s="135">
        <v>2997</v>
      </c>
      <c r="M13" s="135">
        <v>14033</v>
      </c>
      <c r="N13" s="135">
        <v>2838</v>
      </c>
      <c r="O13" s="136">
        <v>6900</v>
      </c>
      <c r="P13" s="135">
        <v>10493</v>
      </c>
      <c r="Q13" s="135">
        <v>10244</v>
      </c>
      <c r="R13" s="136">
        <v>6421</v>
      </c>
      <c r="S13" s="135">
        <v>6218</v>
      </c>
      <c r="T13" s="135">
        <v>10287</v>
      </c>
      <c r="U13" s="135">
        <v>4456</v>
      </c>
      <c r="V13" s="136">
        <v>6329</v>
      </c>
      <c r="W13" s="135">
        <v>17537</v>
      </c>
      <c r="X13" s="136">
        <v>8634</v>
      </c>
      <c r="Y13" s="135">
        <v>11189</v>
      </c>
      <c r="Z13" s="137">
        <v>14524</v>
      </c>
    </row>
    <row r="14" spans="1:26" s="87" customFormat="1" ht="24" customHeight="1" x14ac:dyDescent="0.35">
      <c r="A14" s="112" t="s">
        <v>50</v>
      </c>
      <c r="B14" s="146">
        <v>27291</v>
      </c>
      <c r="C14" s="88">
        <v>13116</v>
      </c>
      <c r="D14" s="113">
        <v>14056</v>
      </c>
      <c r="E14" s="88">
        <v>3535</v>
      </c>
      <c r="F14" s="88">
        <v>6270</v>
      </c>
      <c r="G14" s="88">
        <v>6843</v>
      </c>
      <c r="H14" s="113">
        <v>10643</v>
      </c>
      <c r="I14" s="88">
        <v>7290</v>
      </c>
      <c r="J14" s="88">
        <v>9493</v>
      </c>
      <c r="K14" s="113">
        <v>10508</v>
      </c>
      <c r="L14" s="88">
        <v>2765</v>
      </c>
      <c r="M14" s="88">
        <v>12845</v>
      </c>
      <c r="N14" s="88">
        <v>2724</v>
      </c>
      <c r="O14" s="113">
        <v>8517</v>
      </c>
      <c r="P14" s="88">
        <v>10939</v>
      </c>
      <c r="Q14" s="88">
        <v>9368</v>
      </c>
      <c r="R14" s="113">
        <v>6851</v>
      </c>
      <c r="S14" s="88">
        <v>7012</v>
      </c>
      <c r="T14" s="88">
        <v>10099</v>
      </c>
      <c r="U14" s="88">
        <v>3919</v>
      </c>
      <c r="V14" s="113">
        <v>6261</v>
      </c>
      <c r="W14" s="88">
        <v>18567</v>
      </c>
      <c r="X14" s="113">
        <v>7508</v>
      </c>
      <c r="Y14" s="88">
        <v>11568</v>
      </c>
      <c r="Z14" s="114">
        <v>13901</v>
      </c>
    </row>
    <row r="15" spans="1:26" s="93" customFormat="1" ht="21" customHeight="1" thickBot="1" x14ac:dyDescent="0.4">
      <c r="A15" s="138"/>
      <c r="B15" s="4"/>
      <c r="C15" s="139"/>
      <c r="D15" s="136"/>
      <c r="E15" s="135"/>
      <c r="F15" s="135"/>
      <c r="G15" s="135"/>
      <c r="H15" s="136"/>
      <c r="I15" s="135"/>
      <c r="J15" s="135"/>
      <c r="K15" s="136"/>
      <c r="L15" s="135"/>
      <c r="M15" s="135"/>
      <c r="N15" s="135"/>
      <c r="O15" s="136"/>
      <c r="P15" s="135"/>
      <c r="Q15" s="135"/>
      <c r="R15" s="136"/>
      <c r="S15" s="135"/>
      <c r="T15" s="135"/>
      <c r="U15" s="135"/>
      <c r="V15" s="136"/>
      <c r="W15" s="135"/>
      <c r="X15" s="136"/>
      <c r="Y15" s="135"/>
      <c r="Z15" s="136"/>
    </row>
    <row r="16" spans="1:26" s="87" customFormat="1" ht="24" customHeight="1" thickBot="1" x14ac:dyDescent="0.4">
      <c r="A16" s="243" t="s">
        <v>128</v>
      </c>
      <c r="B16" s="147">
        <v>19</v>
      </c>
      <c r="C16" s="87">
        <v>8</v>
      </c>
      <c r="D16" s="116">
        <v>12</v>
      </c>
      <c r="E16" s="117">
        <v>2</v>
      </c>
      <c r="F16" s="117">
        <v>2</v>
      </c>
      <c r="G16" s="117">
        <v>5</v>
      </c>
      <c r="H16" s="116">
        <v>10</v>
      </c>
      <c r="I16" s="117">
        <v>3</v>
      </c>
      <c r="J16" s="117">
        <v>9</v>
      </c>
      <c r="K16" s="116">
        <v>8</v>
      </c>
      <c r="L16" s="117">
        <v>1</v>
      </c>
      <c r="M16" s="117">
        <v>6</v>
      </c>
      <c r="N16" s="117">
        <v>1</v>
      </c>
      <c r="O16" s="116">
        <v>12</v>
      </c>
      <c r="P16" s="117">
        <v>0</v>
      </c>
      <c r="Q16" s="117">
        <v>3</v>
      </c>
      <c r="R16" s="116">
        <v>16</v>
      </c>
      <c r="S16" s="117">
        <v>3</v>
      </c>
      <c r="T16" s="117">
        <v>13</v>
      </c>
      <c r="U16" s="117">
        <v>1</v>
      </c>
      <c r="V16" s="116">
        <v>3</v>
      </c>
      <c r="W16" s="117">
        <v>13</v>
      </c>
      <c r="X16" s="116">
        <v>6</v>
      </c>
      <c r="Y16" s="117">
        <v>6</v>
      </c>
      <c r="Z16" s="118">
        <v>13</v>
      </c>
    </row>
    <row r="17" spans="1:26" s="93" customFormat="1" ht="21" customHeight="1" x14ac:dyDescent="0.35">
      <c r="A17" s="244"/>
      <c r="B17" s="148">
        <v>0</v>
      </c>
      <c r="C17" s="140">
        <v>0</v>
      </c>
      <c r="D17" s="141">
        <v>0</v>
      </c>
      <c r="E17" s="140">
        <v>0</v>
      </c>
      <c r="F17" s="140">
        <v>0</v>
      </c>
      <c r="G17" s="140">
        <v>0</v>
      </c>
      <c r="H17" s="141">
        <v>0</v>
      </c>
      <c r="I17" s="140">
        <v>0</v>
      </c>
      <c r="J17" s="140">
        <v>0</v>
      </c>
      <c r="K17" s="141">
        <v>0</v>
      </c>
      <c r="L17" s="140">
        <v>0</v>
      </c>
      <c r="M17" s="140">
        <v>0</v>
      </c>
      <c r="N17" s="140">
        <v>0</v>
      </c>
      <c r="O17" s="141">
        <v>0</v>
      </c>
      <c r="P17" s="140">
        <v>0</v>
      </c>
      <c r="Q17" s="140">
        <v>0</v>
      </c>
      <c r="R17" s="141">
        <v>0</v>
      </c>
      <c r="S17" s="140">
        <v>0</v>
      </c>
      <c r="T17" s="140">
        <v>0</v>
      </c>
      <c r="U17" s="140">
        <v>0</v>
      </c>
      <c r="V17" s="141">
        <v>0</v>
      </c>
      <c r="W17" s="140">
        <v>0</v>
      </c>
      <c r="X17" s="141">
        <v>0</v>
      </c>
      <c r="Y17" s="140">
        <v>0</v>
      </c>
      <c r="Z17" s="142">
        <v>0</v>
      </c>
    </row>
    <row r="18" spans="1:26" s="87" customFormat="1" ht="24" customHeight="1" x14ac:dyDescent="0.35">
      <c r="A18" s="235" t="s">
        <v>129</v>
      </c>
      <c r="B18" s="146">
        <v>98</v>
      </c>
      <c r="C18" s="87">
        <v>48</v>
      </c>
      <c r="D18" s="120">
        <v>51</v>
      </c>
      <c r="E18" s="87">
        <v>10</v>
      </c>
      <c r="F18" s="87">
        <v>14</v>
      </c>
      <c r="G18" s="87">
        <v>20</v>
      </c>
      <c r="H18" s="120">
        <v>54</v>
      </c>
      <c r="I18" s="87">
        <v>38</v>
      </c>
      <c r="J18" s="87">
        <v>30</v>
      </c>
      <c r="K18" s="120">
        <v>30</v>
      </c>
      <c r="L18" s="87">
        <v>4</v>
      </c>
      <c r="M18" s="87">
        <v>52</v>
      </c>
      <c r="N18" s="87">
        <v>3</v>
      </c>
      <c r="O18" s="120">
        <v>39</v>
      </c>
      <c r="P18" s="87">
        <v>4</v>
      </c>
      <c r="Q18" s="87">
        <v>43</v>
      </c>
      <c r="R18" s="120">
        <v>52</v>
      </c>
      <c r="S18" s="87">
        <v>23</v>
      </c>
      <c r="T18" s="87">
        <v>52</v>
      </c>
      <c r="U18" s="87">
        <v>13</v>
      </c>
      <c r="V18" s="120">
        <v>10</v>
      </c>
      <c r="W18" s="87">
        <v>53</v>
      </c>
      <c r="X18" s="120">
        <v>43</v>
      </c>
      <c r="Y18" s="87">
        <v>29</v>
      </c>
      <c r="Z18" s="121">
        <v>66</v>
      </c>
    </row>
    <row r="19" spans="1:26" s="93" customFormat="1" ht="21" customHeight="1" x14ac:dyDescent="0.35">
      <c r="A19" s="236"/>
      <c r="B19" s="148">
        <v>0</v>
      </c>
      <c r="C19" s="140">
        <v>0</v>
      </c>
      <c r="D19" s="141">
        <v>0</v>
      </c>
      <c r="E19" s="140">
        <v>0</v>
      </c>
      <c r="F19" s="140">
        <v>0</v>
      </c>
      <c r="G19" s="140">
        <v>0</v>
      </c>
      <c r="H19" s="141">
        <v>0.01</v>
      </c>
      <c r="I19" s="140">
        <v>0.01</v>
      </c>
      <c r="J19" s="140">
        <v>0</v>
      </c>
      <c r="K19" s="141">
        <v>0</v>
      </c>
      <c r="L19" s="140">
        <v>0</v>
      </c>
      <c r="M19" s="140">
        <v>0</v>
      </c>
      <c r="N19" s="140">
        <v>0</v>
      </c>
      <c r="O19" s="141">
        <v>0.01</v>
      </c>
      <c r="P19" s="140">
        <v>0</v>
      </c>
      <c r="Q19" s="140">
        <v>0</v>
      </c>
      <c r="R19" s="141">
        <v>0.01</v>
      </c>
      <c r="S19" s="140">
        <v>0</v>
      </c>
      <c r="T19" s="140">
        <v>0.01</v>
      </c>
      <c r="U19" s="140">
        <v>0</v>
      </c>
      <c r="V19" s="141">
        <v>0</v>
      </c>
      <c r="W19" s="140">
        <v>0</v>
      </c>
      <c r="X19" s="141">
        <v>0</v>
      </c>
      <c r="Y19" s="140">
        <v>0</v>
      </c>
      <c r="Z19" s="142">
        <v>0</v>
      </c>
    </row>
    <row r="20" spans="1:26" s="87" customFormat="1" ht="24" customHeight="1" x14ac:dyDescent="0.35">
      <c r="A20" s="235" t="s">
        <v>130</v>
      </c>
      <c r="B20" s="146">
        <v>127</v>
      </c>
      <c r="C20" s="87">
        <v>68</v>
      </c>
      <c r="D20" s="120">
        <v>55</v>
      </c>
      <c r="E20" s="87">
        <v>17</v>
      </c>
      <c r="F20" s="87">
        <v>28</v>
      </c>
      <c r="G20" s="87">
        <v>26</v>
      </c>
      <c r="H20" s="120">
        <v>56</v>
      </c>
      <c r="I20" s="87">
        <v>34</v>
      </c>
      <c r="J20" s="87">
        <v>28</v>
      </c>
      <c r="K20" s="120">
        <v>65</v>
      </c>
      <c r="L20" s="87">
        <v>13</v>
      </c>
      <c r="M20" s="87">
        <v>70</v>
      </c>
      <c r="N20" s="87">
        <v>2</v>
      </c>
      <c r="O20" s="120">
        <v>42</v>
      </c>
      <c r="P20" s="87">
        <v>116</v>
      </c>
      <c r="Q20" s="87">
        <v>5</v>
      </c>
      <c r="R20" s="120">
        <v>6</v>
      </c>
      <c r="S20" s="87">
        <v>41</v>
      </c>
      <c r="T20" s="87">
        <v>47</v>
      </c>
      <c r="U20" s="87">
        <v>14</v>
      </c>
      <c r="V20" s="120">
        <v>26</v>
      </c>
      <c r="W20" s="87">
        <v>65</v>
      </c>
      <c r="X20" s="120">
        <v>58</v>
      </c>
      <c r="Y20" s="87">
        <v>44</v>
      </c>
      <c r="Z20" s="121">
        <v>78</v>
      </c>
    </row>
    <row r="21" spans="1:26" s="93" customFormat="1" ht="21" customHeight="1" x14ac:dyDescent="0.35">
      <c r="A21" s="236"/>
      <c r="B21" s="148">
        <v>0</v>
      </c>
      <c r="C21" s="140">
        <v>0.01</v>
      </c>
      <c r="D21" s="141">
        <v>0</v>
      </c>
      <c r="E21" s="140">
        <v>0</v>
      </c>
      <c r="F21" s="140">
        <v>0</v>
      </c>
      <c r="G21" s="140">
        <v>0</v>
      </c>
      <c r="H21" s="141">
        <v>0.01</v>
      </c>
      <c r="I21" s="140">
        <v>0.01</v>
      </c>
      <c r="J21" s="140">
        <v>0</v>
      </c>
      <c r="K21" s="141">
        <v>0</v>
      </c>
      <c r="L21" s="140">
        <v>0</v>
      </c>
      <c r="M21" s="140">
        <v>0</v>
      </c>
      <c r="N21" s="140">
        <v>0</v>
      </c>
      <c r="O21" s="141">
        <v>0.01</v>
      </c>
      <c r="P21" s="140">
        <v>0.01</v>
      </c>
      <c r="Q21" s="140">
        <v>0</v>
      </c>
      <c r="R21" s="141">
        <v>0</v>
      </c>
      <c r="S21" s="140">
        <v>0.01</v>
      </c>
      <c r="T21" s="140">
        <v>0</v>
      </c>
      <c r="U21" s="140">
        <v>0</v>
      </c>
      <c r="V21" s="141">
        <v>0</v>
      </c>
      <c r="W21" s="140">
        <v>0</v>
      </c>
      <c r="X21" s="141">
        <v>0.01</v>
      </c>
      <c r="Y21" s="140">
        <v>0</v>
      </c>
      <c r="Z21" s="142">
        <v>0.01</v>
      </c>
    </row>
    <row r="22" spans="1:26" s="87" customFormat="1" ht="24" customHeight="1" x14ac:dyDescent="0.35">
      <c r="A22" s="235" t="s">
        <v>131</v>
      </c>
      <c r="B22" s="146">
        <v>42</v>
      </c>
      <c r="C22" s="87">
        <v>22</v>
      </c>
      <c r="D22" s="120">
        <v>20</v>
      </c>
      <c r="E22" s="87">
        <v>10</v>
      </c>
      <c r="F22" s="87">
        <v>8</v>
      </c>
      <c r="G22" s="87">
        <v>12</v>
      </c>
      <c r="H22" s="120">
        <v>13</v>
      </c>
      <c r="I22" s="87">
        <v>11</v>
      </c>
      <c r="J22" s="87">
        <v>14</v>
      </c>
      <c r="K22" s="120">
        <v>16</v>
      </c>
      <c r="L22" s="87">
        <v>3</v>
      </c>
      <c r="M22" s="87">
        <v>18</v>
      </c>
      <c r="N22" s="87">
        <v>3</v>
      </c>
      <c r="O22" s="120">
        <v>17</v>
      </c>
      <c r="P22" s="87">
        <v>6</v>
      </c>
      <c r="Q22" s="87">
        <v>16</v>
      </c>
      <c r="R22" s="120">
        <v>19</v>
      </c>
      <c r="S22" s="87">
        <v>10</v>
      </c>
      <c r="T22" s="87">
        <v>17</v>
      </c>
      <c r="U22" s="87">
        <v>8</v>
      </c>
      <c r="V22" s="120">
        <v>7</v>
      </c>
      <c r="W22" s="87">
        <v>20</v>
      </c>
      <c r="X22" s="120">
        <v>19</v>
      </c>
      <c r="Y22" s="87">
        <v>13</v>
      </c>
      <c r="Z22" s="121">
        <v>27</v>
      </c>
    </row>
    <row r="23" spans="1:26" s="93" customFormat="1" ht="21" customHeight="1" x14ac:dyDescent="0.35">
      <c r="A23" s="236"/>
      <c r="B23" s="148">
        <v>0</v>
      </c>
      <c r="C23" s="140">
        <v>0</v>
      </c>
      <c r="D23" s="141">
        <v>0</v>
      </c>
      <c r="E23" s="140">
        <v>0</v>
      </c>
      <c r="F23" s="140">
        <v>0</v>
      </c>
      <c r="G23" s="140">
        <v>0</v>
      </c>
      <c r="H23" s="141">
        <v>0</v>
      </c>
      <c r="I23" s="140">
        <v>0</v>
      </c>
      <c r="J23" s="140">
        <v>0</v>
      </c>
      <c r="K23" s="141">
        <v>0</v>
      </c>
      <c r="L23" s="140">
        <v>0</v>
      </c>
      <c r="M23" s="140">
        <v>0</v>
      </c>
      <c r="N23" s="140">
        <v>0</v>
      </c>
      <c r="O23" s="141">
        <v>0</v>
      </c>
      <c r="P23" s="140">
        <v>0</v>
      </c>
      <c r="Q23" s="140">
        <v>0</v>
      </c>
      <c r="R23" s="141">
        <v>0</v>
      </c>
      <c r="S23" s="140">
        <v>0</v>
      </c>
      <c r="T23" s="140">
        <v>0</v>
      </c>
      <c r="U23" s="140">
        <v>0</v>
      </c>
      <c r="V23" s="141">
        <v>0</v>
      </c>
      <c r="W23" s="140">
        <v>0</v>
      </c>
      <c r="X23" s="141">
        <v>0</v>
      </c>
      <c r="Y23" s="140">
        <v>0</v>
      </c>
      <c r="Z23" s="142">
        <v>0</v>
      </c>
    </row>
    <row r="24" spans="1:26" s="87" customFormat="1" ht="24" customHeight="1" x14ac:dyDescent="0.35">
      <c r="A24" s="235" t="s">
        <v>132</v>
      </c>
      <c r="B24" s="146">
        <v>79</v>
      </c>
      <c r="C24" s="87">
        <v>43</v>
      </c>
      <c r="D24" s="120">
        <v>34</v>
      </c>
      <c r="E24" s="87">
        <v>8</v>
      </c>
      <c r="F24" s="87">
        <v>14</v>
      </c>
      <c r="G24" s="87">
        <v>24</v>
      </c>
      <c r="H24" s="120">
        <v>34</v>
      </c>
      <c r="I24" s="87">
        <v>25</v>
      </c>
      <c r="J24" s="87">
        <v>28</v>
      </c>
      <c r="K24" s="120">
        <v>26</v>
      </c>
      <c r="L24" s="87">
        <v>4</v>
      </c>
      <c r="M24" s="87">
        <v>37</v>
      </c>
      <c r="N24" s="87">
        <v>4</v>
      </c>
      <c r="O24" s="120">
        <v>34</v>
      </c>
      <c r="P24" s="87">
        <v>19</v>
      </c>
      <c r="Q24" s="87">
        <v>21</v>
      </c>
      <c r="R24" s="120">
        <v>38</v>
      </c>
      <c r="S24" s="87">
        <v>19</v>
      </c>
      <c r="T24" s="87">
        <v>36</v>
      </c>
      <c r="U24" s="87">
        <v>14</v>
      </c>
      <c r="V24" s="120">
        <v>10</v>
      </c>
      <c r="W24" s="87">
        <v>46</v>
      </c>
      <c r="X24" s="120">
        <v>32</v>
      </c>
      <c r="Y24" s="87">
        <v>23</v>
      </c>
      <c r="Z24" s="121">
        <v>53</v>
      </c>
    </row>
    <row r="25" spans="1:26" s="93" customFormat="1" ht="21" customHeight="1" x14ac:dyDescent="0.35">
      <c r="A25" s="236"/>
      <c r="B25" s="148">
        <v>0</v>
      </c>
      <c r="C25" s="140">
        <v>0</v>
      </c>
      <c r="D25" s="141">
        <v>0</v>
      </c>
      <c r="E25" s="140">
        <v>0</v>
      </c>
      <c r="F25" s="140">
        <v>0</v>
      </c>
      <c r="G25" s="140">
        <v>0</v>
      </c>
      <c r="H25" s="141">
        <v>0</v>
      </c>
      <c r="I25" s="140">
        <v>0.01</v>
      </c>
      <c r="J25" s="140">
        <v>0</v>
      </c>
      <c r="K25" s="141">
        <v>0</v>
      </c>
      <c r="L25" s="140">
        <v>0</v>
      </c>
      <c r="M25" s="140">
        <v>0</v>
      </c>
      <c r="N25" s="140">
        <v>0</v>
      </c>
      <c r="O25" s="141">
        <v>0</v>
      </c>
      <c r="P25" s="140">
        <v>0</v>
      </c>
      <c r="Q25" s="140">
        <v>0</v>
      </c>
      <c r="R25" s="141">
        <v>0.01</v>
      </c>
      <c r="S25" s="140">
        <v>0</v>
      </c>
      <c r="T25" s="140">
        <v>0</v>
      </c>
      <c r="U25" s="140">
        <v>0</v>
      </c>
      <c r="V25" s="141">
        <v>0</v>
      </c>
      <c r="W25" s="140">
        <v>0</v>
      </c>
      <c r="X25" s="141">
        <v>0</v>
      </c>
      <c r="Y25" s="140">
        <v>0</v>
      </c>
      <c r="Z25" s="142">
        <v>0</v>
      </c>
    </row>
    <row r="26" spans="1:26" s="87" customFormat="1" ht="24" customHeight="1" x14ac:dyDescent="0.35">
      <c r="A26" s="235" t="s">
        <v>133</v>
      </c>
      <c r="B26" s="146">
        <v>88</v>
      </c>
      <c r="C26" s="87">
        <v>41</v>
      </c>
      <c r="D26" s="120">
        <v>47</v>
      </c>
      <c r="E26" s="87">
        <v>11</v>
      </c>
      <c r="F26" s="87">
        <v>32</v>
      </c>
      <c r="G26" s="87">
        <v>14</v>
      </c>
      <c r="H26" s="120">
        <v>32</v>
      </c>
      <c r="I26" s="87">
        <v>39</v>
      </c>
      <c r="J26" s="87">
        <v>30</v>
      </c>
      <c r="K26" s="120">
        <v>19</v>
      </c>
      <c r="L26" s="87">
        <v>5</v>
      </c>
      <c r="M26" s="87">
        <v>51</v>
      </c>
      <c r="N26" s="87">
        <v>10</v>
      </c>
      <c r="O26" s="120">
        <v>23</v>
      </c>
      <c r="P26" s="87">
        <v>18</v>
      </c>
      <c r="Q26" s="87">
        <v>24</v>
      </c>
      <c r="R26" s="120">
        <v>45</v>
      </c>
      <c r="S26" s="87">
        <v>19</v>
      </c>
      <c r="T26" s="87">
        <v>43</v>
      </c>
      <c r="U26" s="87">
        <v>11</v>
      </c>
      <c r="V26" s="120">
        <v>15</v>
      </c>
      <c r="W26" s="87">
        <v>53</v>
      </c>
      <c r="X26" s="120">
        <v>34</v>
      </c>
      <c r="Y26" s="87">
        <v>21</v>
      </c>
      <c r="Z26" s="121">
        <v>66</v>
      </c>
    </row>
    <row r="27" spans="1:26" ht="24" customHeight="1" x14ac:dyDescent="0.4">
      <c r="A27" s="246"/>
      <c r="B27" s="159">
        <v>0</v>
      </c>
      <c r="C27" s="125">
        <v>0</v>
      </c>
      <c r="D27" s="160">
        <v>0</v>
      </c>
      <c r="E27" s="125">
        <v>0</v>
      </c>
      <c r="F27" s="125">
        <v>0</v>
      </c>
      <c r="G27" s="125">
        <v>0</v>
      </c>
      <c r="H27" s="160">
        <v>0</v>
      </c>
      <c r="I27" s="125">
        <v>0.01</v>
      </c>
      <c r="J27" s="125">
        <v>0</v>
      </c>
      <c r="K27" s="160">
        <v>0</v>
      </c>
      <c r="L27" s="125">
        <v>0</v>
      </c>
      <c r="M27" s="125">
        <v>0</v>
      </c>
      <c r="N27" s="125">
        <v>0</v>
      </c>
      <c r="O27" s="160">
        <v>0</v>
      </c>
      <c r="P27" s="125">
        <v>0</v>
      </c>
      <c r="Q27" s="125">
        <v>0</v>
      </c>
      <c r="R27" s="160">
        <v>0.01</v>
      </c>
      <c r="S27" s="125">
        <v>0</v>
      </c>
      <c r="T27" s="125">
        <v>0</v>
      </c>
      <c r="U27" s="125">
        <v>0</v>
      </c>
      <c r="V27" s="160">
        <v>0</v>
      </c>
      <c r="W27" s="125">
        <v>0</v>
      </c>
      <c r="X27" s="160">
        <v>0</v>
      </c>
      <c r="Y27" s="125">
        <v>0</v>
      </c>
      <c r="Z27" s="161">
        <v>0</v>
      </c>
    </row>
    <row r="28" spans="1:26" ht="20.25" customHeight="1" x14ac:dyDescent="0.4">
      <c r="A28" s="246" t="s">
        <v>134</v>
      </c>
      <c r="B28" s="154">
        <v>37</v>
      </c>
      <c r="C28" s="155">
        <v>12</v>
      </c>
      <c r="D28" s="156">
        <v>22</v>
      </c>
      <c r="E28" s="155">
        <v>5</v>
      </c>
      <c r="F28" s="155">
        <v>11</v>
      </c>
      <c r="G28" s="155">
        <v>9</v>
      </c>
      <c r="H28" s="156">
        <v>12</v>
      </c>
      <c r="I28" s="155">
        <v>9</v>
      </c>
      <c r="J28" s="155">
        <v>18</v>
      </c>
      <c r="K28" s="156">
        <v>10</v>
      </c>
      <c r="L28" s="155">
        <v>2</v>
      </c>
      <c r="M28" s="155">
        <v>18</v>
      </c>
      <c r="N28" s="155">
        <v>3</v>
      </c>
      <c r="O28" s="156">
        <v>12</v>
      </c>
      <c r="P28" s="155">
        <v>8</v>
      </c>
      <c r="Q28" s="155">
        <v>9</v>
      </c>
      <c r="R28" s="156">
        <v>18</v>
      </c>
      <c r="S28" s="155">
        <v>8</v>
      </c>
      <c r="T28" s="155">
        <v>18</v>
      </c>
      <c r="U28" s="155">
        <v>2</v>
      </c>
      <c r="V28" s="156">
        <v>8</v>
      </c>
      <c r="W28" s="155">
        <v>19</v>
      </c>
      <c r="X28" s="156">
        <v>17</v>
      </c>
      <c r="Y28" s="155">
        <v>10</v>
      </c>
      <c r="Z28" s="157">
        <v>25</v>
      </c>
    </row>
    <row r="29" spans="1:26" ht="24" customHeight="1" x14ac:dyDescent="0.4">
      <c r="A29" s="246"/>
      <c r="B29" s="162">
        <v>0</v>
      </c>
      <c r="C29" s="125">
        <v>0</v>
      </c>
      <c r="D29" s="160">
        <v>0</v>
      </c>
      <c r="E29" s="125">
        <v>0</v>
      </c>
      <c r="F29" s="125">
        <v>0</v>
      </c>
      <c r="G29" s="125">
        <v>0</v>
      </c>
      <c r="H29" s="160">
        <v>0</v>
      </c>
      <c r="I29" s="125">
        <v>0</v>
      </c>
      <c r="J29" s="125">
        <v>0</v>
      </c>
      <c r="K29" s="160">
        <v>0</v>
      </c>
      <c r="L29" s="125">
        <v>0</v>
      </c>
      <c r="M29" s="125">
        <v>0</v>
      </c>
      <c r="N29" s="125">
        <v>0</v>
      </c>
      <c r="O29" s="160">
        <v>0</v>
      </c>
      <c r="P29" s="125">
        <v>0</v>
      </c>
      <c r="Q29" s="125">
        <v>0</v>
      </c>
      <c r="R29" s="160">
        <v>0</v>
      </c>
      <c r="S29" s="125">
        <v>0</v>
      </c>
      <c r="T29" s="125">
        <v>0</v>
      </c>
      <c r="U29" s="125">
        <v>0</v>
      </c>
      <c r="V29" s="160">
        <v>0</v>
      </c>
      <c r="W29" s="125">
        <v>0</v>
      </c>
      <c r="X29" s="160">
        <v>0</v>
      </c>
      <c r="Y29" s="125">
        <v>0</v>
      </c>
      <c r="Z29" s="161">
        <v>0</v>
      </c>
    </row>
    <row r="30" spans="1:26" x14ac:dyDescent="0.4">
      <c r="A30" s="153" t="s">
        <v>135</v>
      </c>
      <c r="B30" s="154">
        <v>52</v>
      </c>
      <c r="C30" s="155">
        <v>25</v>
      </c>
      <c r="D30" s="156">
        <v>27</v>
      </c>
      <c r="E30" s="155">
        <v>8</v>
      </c>
      <c r="F30" s="155">
        <v>14</v>
      </c>
      <c r="G30" s="155">
        <v>12</v>
      </c>
      <c r="H30" s="156">
        <v>18</v>
      </c>
      <c r="I30" s="155">
        <v>12</v>
      </c>
      <c r="J30" s="155">
        <v>19</v>
      </c>
      <c r="K30" s="156">
        <v>21</v>
      </c>
      <c r="L30" s="155">
        <v>4</v>
      </c>
      <c r="M30" s="155">
        <v>29</v>
      </c>
      <c r="N30" s="155">
        <v>4</v>
      </c>
      <c r="O30" s="156">
        <v>14</v>
      </c>
      <c r="P30" s="155">
        <v>9</v>
      </c>
      <c r="Q30" s="155">
        <v>10</v>
      </c>
      <c r="R30" s="156">
        <v>33</v>
      </c>
      <c r="S30" s="155">
        <v>13</v>
      </c>
      <c r="T30" s="155">
        <v>29</v>
      </c>
      <c r="U30" s="155">
        <v>3</v>
      </c>
      <c r="V30" s="156">
        <v>8</v>
      </c>
      <c r="W30" s="155">
        <v>30</v>
      </c>
      <c r="X30" s="156">
        <v>20</v>
      </c>
      <c r="Y30" s="155">
        <v>12</v>
      </c>
      <c r="Z30" s="157">
        <v>39</v>
      </c>
    </row>
    <row r="31" spans="1:26" ht="24.75" customHeight="1" thickBot="1" x14ac:dyDescent="0.45">
      <c r="A31" s="167"/>
      <c r="B31" s="172">
        <v>0</v>
      </c>
      <c r="C31" s="173">
        <v>0</v>
      </c>
      <c r="D31" s="174">
        <v>0</v>
      </c>
      <c r="E31" s="173">
        <v>0</v>
      </c>
      <c r="F31" s="173">
        <v>0</v>
      </c>
      <c r="G31" s="173">
        <v>0</v>
      </c>
      <c r="H31" s="174">
        <v>0</v>
      </c>
      <c r="I31" s="173">
        <v>0</v>
      </c>
      <c r="J31" s="173">
        <v>0</v>
      </c>
      <c r="K31" s="174">
        <v>0</v>
      </c>
      <c r="L31" s="173">
        <v>0</v>
      </c>
      <c r="M31" s="173">
        <v>0</v>
      </c>
      <c r="N31" s="173">
        <v>0</v>
      </c>
      <c r="O31" s="174">
        <v>0</v>
      </c>
      <c r="P31" s="173">
        <v>0</v>
      </c>
      <c r="Q31" s="173">
        <v>0</v>
      </c>
      <c r="R31" s="174">
        <v>0.01</v>
      </c>
      <c r="S31" s="175">
        <v>0</v>
      </c>
      <c r="T31" s="175">
        <v>0</v>
      </c>
      <c r="U31" s="175">
        <v>0</v>
      </c>
      <c r="V31" s="176">
        <v>0</v>
      </c>
      <c r="W31" s="173">
        <v>0</v>
      </c>
      <c r="X31" s="174">
        <v>0</v>
      </c>
      <c r="Y31" s="173">
        <v>0</v>
      </c>
      <c r="Z31" s="177">
        <v>0</v>
      </c>
    </row>
    <row r="32" spans="1:26" x14ac:dyDescent="0.4">
      <c r="A32" s="104" t="s">
        <v>136</v>
      </c>
      <c r="B32" s="168">
        <v>27</v>
      </c>
      <c r="C32" s="90">
        <v>9</v>
      </c>
      <c r="D32" s="90">
        <v>17</v>
      </c>
      <c r="E32" s="90">
        <v>2</v>
      </c>
      <c r="F32" s="90">
        <v>5</v>
      </c>
      <c r="G32" s="90">
        <v>7</v>
      </c>
      <c r="H32" s="90">
        <v>13</v>
      </c>
      <c r="I32" s="90">
        <v>9</v>
      </c>
      <c r="J32" s="90">
        <v>6</v>
      </c>
      <c r="K32" s="90">
        <v>11</v>
      </c>
      <c r="L32" s="90">
        <v>1</v>
      </c>
      <c r="M32" s="90">
        <v>13</v>
      </c>
      <c r="N32" s="90">
        <v>1</v>
      </c>
      <c r="O32" s="90">
        <v>11</v>
      </c>
      <c r="P32" s="90">
        <v>3</v>
      </c>
      <c r="Q32" s="90">
        <v>8</v>
      </c>
      <c r="R32" s="90">
        <v>16</v>
      </c>
      <c r="S32" s="90">
        <v>5</v>
      </c>
      <c r="T32" s="90">
        <v>13</v>
      </c>
      <c r="U32" s="90">
        <v>2</v>
      </c>
      <c r="V32" s="90">
        <v>6</v>
      </c>
      <c r="W32" s="102">
        <v>13</v>
      </c>
      <c r="X32" s="102">
        <v>13</v>
      </c>
      <c r="Y32" s="102">
        <v>8</v>
      </c>
      <c r="Z32" s="178">
        <v>16</v>
      </c>
    </row>
    <row r="33" spans="1:26" ht="24" customHeight="1" x14ac:dyDescent="0.4">
      <c r="B33" s="179">
        <v>0</v>
      </c>
      <c r="C33" s="124">
        <v>0</v>
      </c>
      <c r="D33" s="124">
        <v>0</v>
      </c>
      <c r="E33" s="124">
        <v>0</v>
      </c>
      <c r="F33" s="124">
        <v>0</v>
      </c>
      <c r="G33" s="124">
        <v>0</v>
      </c>
      <c r="H33" s="124">
        <v>0</v>
      </c>
      <c r="I33" s="124">
        <v>0</v>
      </c>
      <c r="J33" s="124">
        <v>0</v>
      </c>
      <c r="K33" s="124">
        <v>0</v>
      </c>
      <c r="L33" s="124">
        <v>0</v>
      </c>
      <c r="M33" s="124">
        <v>0</v>
      </c>
      <c r="N33" s="124">
        <v>0</v>
      </c>
      <c r="O33" s="124">
        <v>0</v>
      </c>
      <c r="P33" s="124">
        <v>0</v>
      </c>
      <c r="Q33" s="124">
        <v>0</v>
      </c>
      <c r="R33" s="124">
        <v>0</v>
      </c>
      <c r="S33" s="125">
        <v>0</v>
      </c>
      <c r="T33" s="125">
        <v>0</v>
      </c>
      <c r="U33" s="125">
        <v>0</v>
      </c>
      <c r="V33" s="125">
        <v>0</v>
      </c>
      <c r="W33" s="180">
        <v>0</v>
      </c>
      <c r="X33" s="180">
        <v>0</v>
      </c>
      <c r="Y33" s="180">
        <v>0</v>
      </c>
      <c r="Z33" s="181">
        <v>0</v>
      </c>
    </row>
    <row r="34" spans="1:26" x14ac:dyDescent="0.4">
      <c r="A34" s="104" t="s">
        <v>137</v>
      </c>
      <c r="B34" s="168">
        <v>77</v>
      </c>
      <c r="C34" s="90">
        <v>41</v>
      </c>
      <c r="D34" s="90">
        <v>35</v>
      </c>
      <c r="E34" s="90">
        <v>6</v>
      </c>
      <c r="F34" s="90">
        <v>23</v>
      </c>
      <c r="G34" s="90">
        <v>16</v>
      </c>
      <c r="H34" s="90">
        <v>33</v>
      </c>
      <c r="I34" s="90">
        <v>21</v>
      </c>
      <c r="J34" s="90">
        <v>13</v>
      </c>
      <c r="K34" s="90">
        <v>44</v>
      </c>
      <c r="L34" s="90">
        <v>9</v>
      </c>
      <c r="M34" s="90">
        <v>27</v>
      </c>
      <c r="N34" s="90">
        <v>5</v>
      </c>
      <c r="O34" s="90">
        <v>36</v>
      </c>
      <c r="P34" s="90">
        <v>65</v>
      </c>
      <c r="Q34" s="90">
        <v>11</v>
      </c>
      <c r="R34" s="90">
        <v>2</v>
      </c>
      <c r="S34" s="90">
        <v>19</v>
      </c>
      <c r="T34" s="90">
        <v>39</v>
      </c>
      <c r="U34" s="90">
        <v>10</v>
      </c>
      <c r="V34" s="90">
        <v>10</v>
      </c>
      <c r="W34" s="102">
        <v>42</v>
      </c>
      <c r="X34" s="102">
        <v>32</v>
      </c>
      <c r="Y34" s="102">
        <v>22</v>
      </c>
      <c r="Z34" s="182">
        <v>50</v>
      </c>
    </row>
    <row r="35" spans="1:26" ht="24" customHeight="1" x14ac:dyDescent="0.4">
      <c r="B35" s="179">
        <v>0</v>
      </c>
      <c r="C35" s="124">
        <v>0</v>
      </c>
      <c r="D35" s="124">
        <v>0</v>
      </c>
      <c r="E35" s="124">
        <v>0</v>
      </c>
      <c r="F35" s="124">
        <v>0</v>
      </c>
      <c r="G35" s="124">
        <v>0</v>
      </c>
      <c r="H35" s="124">
        <v>0</v>
      </c>
      <c r="I35" s="124">
        <v>0.01</v>
      </c>
      <c r="J35" s="124">
        <v>0</v>
      </c>
      <c r="K35" s="124">
        <v>0</v>
      </c>
      <c r="L35" s="124">
        <v>0</v>
      </c>
      <c r="M35" s="124">
        <v>0</v>
      </c>
      <c r="N35" s="124">
        <v>0</v>
      </c>
      <c r="O35" s="124">
        <v>0.01</v>
      </c>
      <c r="P35" s="124">
        <v>0.01</v>
      </c>
      <c r="Q35" s="124">
        <v>0</v>
      </c>
      <c r="R35" s="124">
        <v>0</v>
      </c>
      <c r="S35" s="125">
        <v>0</v>
      </c>
      <c r="T35" s="125">
        <v>0</v>
      </c>
      <c r="U35" s="125">
        <v>0</v>
      </c>
      <c r="V35" s="125">
        <v>0</v>
      </c>
      <c r="W35" s="180">
        <v>0</v>
      </c>
      <c r="X35" s="180">
        <v>0</v>
      </c>
      <c r="Y35" s="180">
        <v>0</v>
      </c>
      <c r="Z35" s="181">
        <v>0</v>
      </c>
    </row>
    <row r="36" spans="1:26" x14ac:dyDescent="0.4">
      <c r="A36" s="104" t="s">
        <v>138</v>
      </c>
      <c r="B36" s="168">
        <v>117</v>
      </c>
      <c r="C36" s="90">
        <v>60</v>
      </c>
      <c r="D36" s="90">
        <v>56</v>
      </c>
      <c r="E36" s="90">
        <v>21</v>
      </c>
      <c r="F36" s="90">
        <v>24</v>
      </c>
      <c r="G36" s="90">
        <v>32</v>
      </c>
      <c r="H36" s="90">
        <v>40</v>
      </c>
      <c r="I36" s="90">
        <v>22</v>
      </c>
      <c r="J36" s="90">
        <v>45</v>
      </c>
      <c r="K36" s="90">
        <v>49</v>
      </c>
      <c r="L36" s="90">
        <v>9</v>
      </c>
      <c r="M36" s="90">
        <v>40</v>
      </c>
      <c r="N36" s="90">
        <v>28</v>
      </c>
      <c r="O36" s="90">
        <v>38</v>
      </c>
      <c r="P36" s="90">
        <v>41</v>
      </c>
      <c r="Q36" s="90">
        <v>56</v>
      </c>
      <c r="R36" s="90">
        <v>18</v>
      </c>
      <c r="S36" s="90">
        <v>31</v>
      </c>
      <c r="T36" s="90">
        <v>48</v>
      </c>
      <c r="U36" s="90">
        <v>13</v>
      </c>
      <c r="V36" s="90">
        <v>25</v>
      </c>
      <c r="W36" s="102">
        <v>77</v>
      </c>
      <c r="X36" s="102">
        <v>33</v>
      </c>
      <c r="Y36" s="102">
        <v>50</v>
      </c>
      <c r="Z36" s="182">
        <v>56</v>
      </c>
    </row>
    <row r="37" spans="1:26" ht="24" customHeight="1" x14ac:dyDescent="0.4">
      <c r="B37" s="179">
        <v>0</v>
      </c>
      <c r="C37" s="124">
        <v>0</v>
      </c>
      <c r="D37" s="124">
        <v>0</v>
      </c>
      <c r="E37" s="124">
        <v>0.01</v>
      </c>
      <c r="F37" s="124">
        <v>0</v>
      </c>
      <c r="G37" s="124">
        <v>0</v>
      </c>
      <c r="H37" s="124">
        <v>0</v>
      </c>
      <c r="I37" s="124">
        <v>0.01</v>
      </c>
      <c r="J37" s="124">
        <v>0.01</v>
      </c>
      <c r="K37" s="124">
        <v>0</v>
      </c>
      <c r="L37" s="124">
        <v>0</v>
      </c>
      <c r="M37" s="124">
        <v>0</v>
      </c>
      <c r="N37" s="124">
        <v>0.01</v>
      </c>
      <c r="O37" s="124">
        <v>0.01</v>
      </c>
      <c r="P37" s="124">
        <v>0</v>
      </c>
      <c r="Q37" s="124">
        <v>0.01</v>
      </c>
      <c r="R37" s="124">
        <v>0</v>
      </c>
      <c r="S37" s="125">
        <v>0.01</v>
      </c>
      <c r="T37" s="125">
        <v>0</v>
      </c>
      <c r="U37" s="125">
        <v>0</v>
      </c>
      <c r="V37" s="125">
        <v>0</v>
      </c>
      <c r="W37" s="180">
        <v>0</v>
      </c>
      <c r="X37" s="180">
        <v>0</v>
      </c>
      <c r="Y37" s="180">
        <v>0</v>
      </c>
      <c r="Z37" s="181">
        <v>0</v>
      </c>
    </row>
    <row r="38" spans="1:26" x14ac:dyDescent="0.4">
      <c r="A38" s="104" t="s">
        <v>139</v>
      </c>
      <c r="B38" s="168">
        <v>64</v>
      </c>
      <c r="C38" s="90">
        <v>26</v>
      </c>
      <c r="D38" s="90">
        <v>37</v>
      </c>
      <c r="E38" s="90">
        <v>11</v>
      </c>
      <c r="F38" s="90">
        <v>19</v>
      </c>
      <c r="G38" s="90">
        <v>19</v>
      </c>
      <c r="H38" s="90">
        <v>16</v>
      </c>
      <c r="I38" s="90">
        <v>19</v>
      </c>
      <c r="J38" s="90">
        <v>15</v>
      </c>
      <c r="K38" s="90">
        <v>30</v>
      </c>
      <c r="L38" s="90">
        <v>10</v>
      </c>
      <c r="M38" s="90">
        <v>17</v>
      </c>
      <c r="N38" s="90">
        <v>22</v>
      </c>
      <c r="O38" s="90">
        <v>12</v>
      </c>
      <c r="P38" s="90">
        <v>7</v>
      </c>
      <c r="Q38" s="90">
        <v>44</v>
      </c>
      <c r="R38" s="90">
        <v>11</v>
      </c>
      <c r="S38" s="90">
        <v>14</v>
      </c>
      <c r="T38" s="90">
        <v>21</v>
      </c>
      <c r="U38" s="90">
        <v>6</v>
      </c>
      <c r="V38" s="90">
        <v>23</v>
      </c>
      <c r="W38" s="102">
        <v>42</v>
      </c>
      <c r="X38" s="102">
        <v>20</v>
      </c>
      <c r="Y38" s="102">
        <v>25</v>
      </c>
      <c r="Z38" s="182">
        <v>34</v>
      </c>
    </row>
    <row r="39" spans="1:26" ht="24" customHeight="1" x14ac:dyDescent="0.4">
      <c r="B39" s="179">
        <v>0</v>
      </c>
      <c r="C39" s="124">
        <v>0</v>
      </c>
      <c r="D39" s="124">
        <v>0</v>
      </c>
      <c r="E39" s="124">
        <v>0</v>
      </c>
      <c r="F39" s="124">
        <v>0</v>
      </c>
      <c r="G39" s="124">
        <v>0</v>
      </c>
      <c r="H39" s="124">
        <v>0</v>
      </c>
      <c r="I39" s="124">
        <v>0.01</v>
      </c>
      <c r="J39" s="124">
        <v>0</v>
      </c>
      <c r="K39" s="124">
        <v>0</v>
      </c>
      <c r="L39" s="124">
        <v>0</v>
      </c>
      <c r="M39" s="124">
        <v>0</v>
      </c>
      <c r="N39" s="124">
        <v>0.01</v>
      </c>
      <c r="O39" s="124">
        <v>0</v>
      </c>
      <c r="P39" s="124">
        <v>0</v>
      </c>
      <c r="Q39" s="124">
        <v>0</v>
      </c>
      <c r="R39" s="124">
        <v>0</v>
      </c>
      <c r="S39" s="125">
        <v>0</v>
      </c>
      <c r="T39" s="125">
        <v>0</v>
      </c>
      <c r="U39" s="125">
        <v>0</v>
      </c>
      <c r="V39" s="125">
        <v>0</v>
      </c>
      <c r="W39" s="180">
        <v>0</v>
      </c>
      <c r="X39" s="180">
        <v>0</v>
      </c>
      <c r="Y39" s="180">
        <v>0</v>
      </c>
      <c r="Z39" s="181">
        <v>0</v>
      </c>
    </row>
    <row r="40" spans="1:26" x14ac:dyDescent="0.4">
      <c r="A40" s="104" t="s">
        <v>140</v>
      </c>
      <c r="B40" s="169">
        <v>104</v>
      </c>
      <c r="C40" s="87">
        <v>63</v>
      </c>
      <c r="D40" s="87">
        <v>40</v>
      </c>
      <c r="E40" s="87">
        <v>12</v>
      </c>
      <c r="F40" s="87">
        <v>31</v>
      </c>
      <c r="G40" s="87">
        <v>29</v>
      </c>
      <c r="H40" s="87">
        <v>32</v>
      </c>
      <c r="I40" s="87">
        <v>13</v>
      </c>
      <c r="J40" s="87">
        <v>41</v>
      </c>
      <c r="K40" s="87">
        <v>50</v>
      </c>
      <c r="L40" s="87">
        <v>6</v>
      </c>
      <c r="M40" s="87">
        <v>27</v>
      </c>
      <c r="N40" s="87">
        <v>34</v>
      </c>
      <c r="O40" s="87">
        <v>37</v>
      </c>
      <c r="P40" s="87">
        <v>33</v>
      </c>
      <c r="Q40" s="87">
        <v>55</v>
      </c>
      <c r="R40" s="87">
        <v>16</v>
      </c>
      <c r="S40" s="87">
        <v>33</v>
      </c>
      <c r="T40" s="87">
        <v>41</v>
      </c>
      <c r="U40" s="87">
        <v>10</v>
      </c>
      <c r="V40" s="87">
        <v>19</v>
      </c>
      <c r="W40" s="102">
        <v>59</v>
      </c>
      <c r="X40" s="102">
        <v>36</v>
      </c>
      <c r="Y40" s="102">
        <v>32</v>
      </c>
      <c r="Z40" s="182">
        <v>62</v>
      </c>
    </row>
    <row r="41" spans="1:26" x14ac:dyDescent="0.4">
      <c r="B41" s="170">
        <v>0</v>
      </c>
      <c r="C41" s="171">
        <v>0</v>
      </c>
      <c r="D41" s="171">
        <v>0</v>
      </c>
      <c r="E41" s="171">
        <v>0</v>
      </c>
      <c r="F41" s="171">
        <v>0</v>
      </c>
      <c r="G41" s="171">
        <v>0</v>
      </c>
      <c r="H41" s="171">
        <v>0</v>
      </c>
      <c r="I41" s="171">
        <v>0</v>
      </c>
      <c r="J41" s="171">
        <v>0</v>
      </c>
      <c r="K41" s="171">
        <v>0</v>
      </c>
      <c r="L41" s="171">
        <v>0</v>
      </c>
      <c r="M41" s="171">
        <v>0</v>
      </c>
      <c r="N41" s="171">
        <v>0.01</v>
      </c>
      <c r="O41" s="171">
        <v>0.01</v>
      </c>
      <c r="P41" s="171">
        <v>0</v>
      </c>
      <c r="Q41" s="171">
        <v>0.01</v>
      </c>
      <c r="R41" s="171">
        <v>0</v>
      </c>
      <c r="S41" s="171">
        <v>0.01</v>
      </c>
      <c r="T41" s="171">
        <v>0</v>
      </c>
      <c r="U41" s="171">
        <v>0</v>
      </c>
      <c r="V41" s="171">
        <v>0</v>
      </c>
      <c r="W41" s="180">
        <v>0</v>
      </c>
      <c r="X41" s="180">
        <v>0</v>
      </c>
      <c r="Y41" s="180">
        <v>0</v>
      </c>
      <c r="Z41" s="181">
        <v>0</v>
      </c>
    </row>
    <row r="42" spans="1:26" x14ac:dyDescent="0.4">
      <c r="A42" s="104" t="s">
        <v>141</v>
      </c>
      <c r="B42" s="169">
        <v>71</v>
      </c>
      <c r="C42" s="87">
        <v>36</v>
      </c>
      <c r="D42" s="87">
        <v>35</v>
      </c>
      <c r="E42" s="87">
        <v>8</v>
      </c>
      <c r="F42" s="87">
        <v>20</v>
      </c>
      <c r="G42" s="87">
        <v>17</v>
      </c>
      <c r="H42" s="87">
        <v>26</v>
      </c>
      <c r="I42" s="87">
        <v>11</v>
      </c>
      <c r="J42" s="87">
        <v>25</v>
      </c>
      <c r="K42" s="87">
        <v>35</v>
      </c>
      <c r="L42" s="87">
        <v>4</v>
      </c>
      <c r="M42" s="87">
        <v>34</v>
      </c>
      <c r="N42" s="87">
        <v>14</v>
      </c>
      <c r="O42" s="87">
        <v>17</v>
      </c>
      <c r="P42" s="87">
        <v>17</v>
      </c>
      <c r="Q42" s="87">
        <v>35</v>
      </c>
      <c r="R42" s="87">
        <v>18</v>
      </c>
      <c r="S42" s="87">
        <v>16</v>
      </c>
      <c r="T42" s="87">
        <v>23</v>
      </c>
      <c r="U42" s="87">
        <v>10</v>
      </c>
      <c r="V42" s="87">
        <v>22</v>
      </c>
      <c r="W42" s="102">
        <v>45</v>
      </c>
      <c r="X42" s="102">
        <v>21</v>
      </c>
      <c r="Y42" s="102">
        <v>28</v>
      </c>
      <c r="Z42" s="182">
        <v>36</v>
      </c>
    </row>
    <row r="43" spans="1:26" x14ac:dyDescent="0.4">
      <c r="B43" s="170">
        <v>0</v>
      </c>
      <c r="C43" s="171">
        <v>0</v>
      </c>
      <c r="D43" s="171">
        <v>0</v>
      </c>
      <c r="E43" s="171">
        <v>0</v>
      </c>
      <c r="F43" s="171">
        <v>0</v>
      </c>
      <c r="G43" s="171">
        <v>0</v>
      </c>
      <c r="H43" s="171">
        <v>0</v>
      </c>
      <c r="I43" s="171">
        <v>0</v>
      </c>
      <c r="J43" s="171">
        <v>0</v>
      </c>
      <c r="K43" s="171">
        <v>0</v>
      </c>
      <c r="L43" s="171">
        <v>0</v>
      </c>
      <c r="M43" s="171">
        <v>0</v>
      </c>
      <c r="N43" s="171">
        <v>0</v>
      </c>
      <c r="O43" s="171">
        <v>0</v>
      </c>
      <c r="P43" s="171">
        <v>0</v>
      </c>
      <c r="Q43" s="171">
        <v>0</v>
      </c>
      <c r="R43" s="171">
        <v>0</v>
      </c>
      <c r="S43" s="171">
        <v>0</v>
      </c>
      <c r="T43" s="171">
        <v>0</v>
      </c>
      <c r="U43" s="171">
        <v>0</v>
      </c>
      <c r="V43" s="171">
        <v>0</v>
      </c>
      <c r="W43" s="180">
        <v>0</v>
      </c>
      <c r="X43" s="180">
        <v>0</v>
      </c>
      <c r="Y43" s="180">
        <v>0</v>
      </c>
      <c r="Z43" s="181">
        <v>0</v>
      </c>
    </row>
    <row r="44" spans="1:26" x14ac:dyDescent="0.4">
      <c r="A44" s="104" t="s">
        <v>142</v>
      </c>
      <c r="B44" s="169">
        <v>76</v>
      </c>
      <c r="C44" s="87">
        <v>37</v>
      </c>
      <c r="D44" s="87">
        <v>38</v>
      </c>
      <c r="E44" s="87">
        <v>11</v>
      </c>
      <c r="F44" s="87">
        <v>19</v>
      </c>
      <c r="G44" s="87">
        <v>13</v>
      </c>
      <c r="H44" s="87">
        <v>33</v>
      </c>
      <c r="I44" s="87">
        <v>17</v>
      </c>
      <c r="J44" s="87">
        <v>27</v>
      </c>
      <c r="K44" s="87">
        <v>32</v>
      </c>
      <c r="L44" s="87">
        <v>4</v>
      </c>
      <c r="M44" s="87">
        <v>25</v>
      </c>
      <c r="N44" s="87">
        <v>17</v>
      </c>
      <c r="O44" s="87">
        <v>30</v>
      </c>
      <c r="P44" s="87">
        <v>24</v>
      </c>
      <c r="Q44" s="87">
        <v>39</v>
      </c>
      <c r="R44" s="87">
        <v>12</v>
      </c>
      <c r="S44" s="87">
        <v>23</v>
      </c>
      <c r="T44" s="87">
        <v>31</v>
      </c>
      <c r="U44" s="87">
        <v>5</v>
      </c>
      <c r="V44" s="87">
        <v>17</v>
      </c>
      <c r="W44" s="102">
        <v>50</v>
      </c>
      <c r="X44" s="102">
        <v>22</v>
      </c>
      <c r="Y44" s="102">
        <v>25</v>
      </c>
      <c r="Z44" s="182">
        <v>45</v>
      </c>
    </row>
    <row r="45" spans="1:26" x14ac:dyDescent="0.4">
      <c r="B45" s="170">
        <v>0</v>
      </c>
      <c r="C45" s="171">
        <v>0</v>
      </c>
      <c r="D45" s="171">
        <v>0</v>
      </c>
      <c r="E45" s="171">
        <v>0</v>
      </c>
      <c r="F45" s="171">
        <v>0</v>
      </c>
      <c r="G45" s="171">
        <v>0</v>
      </c>
      <c r="H45" s="171">
        <v>0</v>
      </c>
      <c r="I45" s="171">
        <v>0</v>
      </c>
      <c r="J45" s="171">
        <v>0</v>
      </c>
      <c r="K45" s="171">
        <v>0</v>
      </c>
      <c r="L45" s="171">
        <v>0</v>
      </c>
      <c r="M45" s="171">
        <v>0</v>
      </c>
      <c r="N45" s="171">
        <v>0.01</v>
      </c>
      <c r="O45" s="171">
        <v>0</v>
      </c>
      <c r="P45" s="171">
        <v>0</v>
      </c>
      <c r="Q45" s="171">
        <v>0</v>
      </c>
      <c r="R45" s="171">
        <v>0</v>
      </c>
      <c r="S45" s="171">
        <v>0</v>
      </c>
      <c r="T45" s="171">
        <v>0</v>
      </c>
      <c r="U45" s="171">
        <v>0</v>
      </c>
      <c r="V45" s="171">
        <v>0</v>
      </c>
      <c r="W45" s="180">
        <v>0</v>
      </c>
      <c r="X45" s="180">
        <v>0</v>
      </c>
      <c r="Y45" s="180">
        <v>0</v>
      </c>
      <c r="Z45" s="181">
        <v>0</v>
      </c>
    </row>
    <row r="46" spans="1:26" x14ac:dyDescent="0.4">
      <c r="A46" s="104" t="s">
        <v>143</v>
      </c>
      <c r="B46" s="169">
        <v>28</v>
      </c>
      <c r="C46" s="87">
        <v>10</v>
      </c>
      <c r="D46" s="87">
        <v>18</v>
      </c>
      <c r="E46" s="87">
        <v>2</v>
      </c>
      <c r="F46" s="87">
        <v>5</v>
      </c>
      <c r="G46" s="87">
        <v>9</v>
      </c>
      <c r="H46" s="87">
        <v>12</v>
      </c>
      <c r="I46" s="87">
        <v>6</v>
      </c>
      <c r="J46" s="87">
        <v>6</v>
      </c>
      <c r="K46" s="87">
        <v>16</v>
      </c>
      <c r="L46" s="87">
        <v>3</v>
      </c>
      <c r="M46" s="87">
        <v>7</v>
      </c>
      <c r="N46" s="87">
        <v>4</v>
      </c>
      <c r="O46" s="87">
        <v>14</v>
      </c>
      <c r="P46" s="87">
        <v>2</v>
      </c>
      <c r="Q46" s="87">
        <v>18</v>
      </c>
      <c r="R46" s="87">
        <v>7</v>
      </c>
      <c r="S46" s="87">
        <v>9</v>
      </c>
      <c r="T46" s="87">
        <v>8</v>
      </c>
      <c r="U46" s="87">
        <v>7</v>
      </c>
      <c r="V46" s="87">
        <v>4</v>
      </c>
      <c r="W46" s="102">
        <v>20</v>
      </c>
      <c r="X46" s="102">
        <v>7</v>
      </c>
      <c r="Y46" s="102">
        <v>14</v>
      </c>
      <c r="Z46" s="182">
        <v>11</v>
      </c>
    </row>
    <row r="47" spans="1:26" x14ac:dyDescent="0.4">
      <c r="B47" s="170">
        <v>0</v>
      </c>
      <c r="C47" s="171">
        <v>0</v>
      </c>
      <c r="D47" s="171">
        <v>0</v>
      </c>
      <c r="E47" s="171">
        <v>0</v>
      </c>
      <c r="F47" s="171">
        <v>0</v>
      </c>
      <c r="G47" s="171">
        <v>0</v>
      </c>
      <c r="H47" s="171">
        <v>0</v>
      </c>
      <c r="I47" s="171">
        <v>0</v>
      </c>
      <c r="J47" s="171">
        <v>0</v>
      </c>
      <c r="K47" s="171">
        <v>0</v>
      </c>
      <c r="L47" s="171">
        <v>0</v>
      </c>
      <c r="M47" s="171">
        <v>0</v>
      </c>
      <c r="N47" s="171">
        <v>0</v>
      </c>
      <c r="O47" s="171">
        <v>0</v>
      </c>
      <c r="P47" s="171">
        <v>0</v>
      </c>
      <c r="Q47" s="171">
        <v>0</v>
      </c>
      <c r="R47" s="171">
        <v>0</v>
      </c>
      <c r="S47" s="171">
        <v>0</v>
      </c>
      <c r="T47" s="171">
        <v>0</v>
      </c>
      <c r="U47" s="171">
        <v>0</v>
      </c>
      <c r="V47" s="171">
        <v>0</v>
      </c>
      <c r="W47" s="180">
        <v>0</v>
      </c>
      <c r="X47" s="180">
        <v>0</v>
      </c>
      <c r="Y47" s="180">
        <v>0</v>
      </c>
      <c r="Z47" s="181">
        <v>0</v>
      </c>
    </row>
    <row r="48" spans="1:26" x14ac:dyDescent="0.4">
      <c r="A48" s="104" t="s">
        <v>144</v>
      </c>
      <c r="B48" s="169">
        <v>94</v>
      </c>
      <c r="C48" s="87">
        <v>33</v>
      </c>
      <c r="D48" s="87">
        <v>61</v>
      </c>
      <c r="E48" s="87">
        <v>8</v>
      </c>
      <c r="F48" s="87">
        <v>17</v>
      </c>
      <c r="G48" s="87">
        <v>18</v>
      </c>
      <c r="H48" s="87">
        <v>50</v>
      </c>
      <c r="I48" s="87">
        <v>20</v>
      </c>
      <c r="J48" s="87">
        <v>34</v>
      </c>
      <c r="K48" s="87">
        <v>40</v>
      </c>
      <c r="L48" s="87">
        <v>5</v>
      </c>
      <c r="M48" s="87">
        <v>31</v>
      </c>
      <c r="N48" s="87">
        <v>11</v>
      </c>
      <c r="O48" s="87">
        <v>41</v>
      </c>
      <c r="P48" s="87">
        <v>32</v>
      </c>
      <c r="Q48" s="87">
        <v>48</v>
      </c>
      <c r="R48" s="87">
        <v>12</v>
      </c>
      <c r="S48" s="87">
        <v>33</v>
      </c>
      <c r="T48" s="87">
        <v>34</v>
      </c>
      <c r="U48" s="87">
        <v>9</v>
      </c>
      <c r="V48" s="87">
        <v>17</v>
      </c>
      <c r="W48" s="102">
        <v>65</v>
      </c>
      <c r="X48" s="102">
        <v>25</v>
      </c>
      <c r="Y48" s="102">
        <v>38</v>
      </c>
      <c r="Z48" s="182">
        <v>39</v>
      </c>
    </row>
    <row r="49" spans="1:26" x14ac:dyDescent="0.4">
      <c r="B49" s="170">
        <v>0</v>
      </c>
      <c r="C49" s="171">
        <v>0</v>
      </c>
      <c r="D49" s="171">
        <v>0</v>
      </c>
      <c r="E49" s="171">
        <v>0</v>
      </c>
      <c r="F49" s="171">
        <v>0</v>
      </c>
      <c r="G49" s="171">
        <v>0</v>
      </c>
      <c r="H49" s="171">
        <v>0.01</v>
      </c>
      <c r="I49" s="171">
        <v>0.01</v>
      </c>
      <c r="J49" s="171">
        <v>0</v>
      </c>
      <c r="K49" s="171">
        <v>0</v>
      </c>
      <c r="L49" s="171">
        <v>0</v>
      </c>
      <c r="M49" s="171">
        <v>0</v>
      </c>
      <c r="N49" s="171">
        <v>0</v>
      </c>
      <c r="O49" s="171">
        <v>0.01</v>
      </c>
      <c r="P49" s="171">
        <v>0</v>
      </c>
      <c r="Q49" s="171">
        <v>0</v>
      </c>
      <c r="R49" s="171">
        <v>0</v>
      </c>
      <c r="S49" s="171">
        <v>0.01</v>
      </c>
      <c r="T49" s="171">
        <v>0</v>
      </c>
      <c r="U49" s="171">
        <v>0</v>
      </c>
      <c r="V49" s="171">
        <v>0</v>
      </c>
      <c r="W49" s="180">
        <v>0</v>
      </c>
      <c r="X49" s="180">
        <v>0</v>
      </c>
      <c r="Y49" s="180">
        <v>0</v>
      </c>
      <c r="Z49" s="181">
        <v>0</v>
      </c>
    </row>
    <row r="50" spans="1:26" x14ac:dyDescent="0.4">
      <c r="A50" s="104" t="s">
        <v>145</v>
      </c>
      <c r="B50" s="169">
        <v>77</v>
      </c>
      <c r="C50" s="87">
        <v>36</v>
      </c>
      <c r="D50" s="87">
        <v>41</v>
      </c>
      <c r="E50" s="87">
        <v>6</v>
      </c>
      <c r="F50" s="87">
        <v>15</v>
      </c>
      <c r="G50" s="87">
        <v>22</v>
      </c>
      <c r="H50" s="87">
        <v>34</v>
      </c>
      <c r="I50" s="87">
        <v>17</v>
      </c>
      <c r="J50" s="87">
        <v>20</v>
      </c>
      <c r="K50" s="87">
        <v>40</v>
      </c>
      <c r="L50" s="87">
        <v>10</v>
      </c>
      <c r="M50" s="87">
        <v>21</v>
      </c>
      <c r="N50" s="87">
        <v>11</v>
      </c>
      <c r="O50" s="87">
        <v>33</v>
      </c>
      <c r="P50" s="87">
        <v>23</v>
      </c>
      <c r="Q50" s="87">
        <v>41</v>
      </c>
      <c r="R50" s="87">
        <v>11</v>
      </c>
      <c r="S50" s="87">
        <v>19</v>
      </c>
      <c r="T50" s="87">
        <v>34</v>
      </c>
      <c r="U50" s="87">
        <v>9</v>
      </c>
      <c r="V50" s="87">
        <v>15</v>
      </c>
      <c r="W50" s="102">
        <v>50</v>
      </c>
      <c r="X50" s="102">
        <v>19</v>
      </c>
      <c r="Y50" s="102">
        <v>32</v>
      </c>
      <c r="Z50" s="182">
        <v>38</v>
      </c>
    </row>
    <row r="51" spans="1:26" x14ac:dyDescent="0.4">
      <c r="B51" s="170">
        <v>0</v>
      </c>
      <c r="C51" s="171">
        <v>0</v>
      </c>
      <c r="D51" s="171">
        <v>0</v>
      </c>
      <c r="E51" s="171">
        <v>0</v>
      </c>
      <c r="F51" s="171">
        <v>0</v>
      </c>
      <c r="G51" s="171">
        <v>0</v>
      </c>
      <c r="H51" s="171">
        <v>0</v>
      </c>
      <c r="I51" s="171">
        <v>0</v>
      </c>
      <c r="J51" s="171">
        <v>0</v>
      </c>
      <c r="K51" s="171">
        <v>0</v>
      </c>
      <c r="L51" s="171">
        <v>0</v>
      </c>
      <c r="M51" s="171">
        <v>0</v>
      </c>
      <c r="N51" s="171">
        <v>0</v>
      </c>
      <c r="O51" s="171">
        <v>0</v>
      </c>
      <c r="P51" s="171">
        <v>0</v>
      </c>
      <c r="Q51" s="171">
        <v>0</v>
      </c>
      <c r="R51" s="171">
        <v>0</v>
      </c>
      <c r="S51" s="171">
        <v>0</v>
      </c>
      <c r="T51" s="171">
        <v>0</v>
      </c>
      <c r="U51" s="171">
        <v>0</v>
      </c>
      <c r="V51" s="171">
        <v>0</v>
      </c>
      <c r="W51" s="180">
        <v>0</v>
      </c>
      <c r="X51" s="180">
        <v>0</v>
      </c>
      <c r="Y51" s="180">
        <v>0</v>
      </c>
      <c r="Z51" s="181">
        <v>0</v>
      </c>
    </row>
    <row r="52" spans="1:26" x14ac:dyDescent="0.4">
      <c r="A52" s="104" t="s">
        <v>146</v>
      </c>
      <c r="B52" s="169">
        <v>16</v>
      </c>
      <c r="C52" s="87">
        <v>10</v>
      </c>
      <c r="D52" s="87">
        <v>6</v>
      </c>
      <c r="E52" s="87">
        <v>0</v>
      </c>
      <c r="F52" s="87">
        <v>8</v>
      </c>
      <c r="G52" s="87">
        <v>2</v>
      </c>
      <c r="H52" s="87">
        <v>5</v>
      </c>
      <c r="I52" s="87">
        <v>7</v>
      </c>
      <c r="J52" s="87">
        <v>5</v>
      </c>
      <c r="K52" s="87">
        <v>4</v>
      </c>
      <c r="L52" s="87">
        <v>3</v>
      </c>
      <c r="M52" s="87">
        <v>6</v>
      </c>
      <c r="N52" s="87">
        <v>1</v>
      </c>
      <c r="O52" s="87">
        <v>5</v>
      </c>
      <c r="P52" s="87">
        <v>6</v>
      </c>
      <c r="Q52" s="87">
        <v>5</v>
      </c>
      <c r="R52" s="87">
        <v>4</v>
      </c>
      <c r="S52" s="87">
        <v>4</v>
      </c>
      <c r="T52" s="87">
        <v>10</v>
      </c>
      <c r="U52" s="87">
        <v>1</v>
      </c>
      <c r="V52" s="87">
        <v>0</v>
      </c>
      <c r="W52" s="102">
        <v>14</v>
      </c>
      <c r="X52" s="102">
        <v>2</v>
      </c>
      <c r="Y52" s="102">
        <v>5</v>
      </c>
      <c r="Z52" s="182">
        <v>10</v>
      </c>
    </row>
    <row r="53" spans="1:26" x14ac:dyDescent="0.4">
      <c r="B53" s="170">
        <v>0</v>
      </c>
      <c r="C53" s="171">
        <v>0</v>
      </c>
      <c r="D53" s="171">
        <v>0</v>
      </c>
      <c r="E53" s="171">
        <v>0</v>
      </c>
      <c r="F53" s="171">
        <v>0</v>
      </c>
      <c r="G53" s="171">
        <v>0</v>
      </c>
      <c r="H53" s="171">
        <v>0</v>
      </c>
      <c r="I53" s="171">
        <v>0</v>
      </c>
      <c r="J53" s="171">
        <v>0</v>
      </c>
      <c r="K53" s="171">
        <v>0</v>
      </c>
      <c r="L53" s="171">
        <v>0</v>
      </c>
      <c r="M53" s="171">
        <v>0</v>
      </c>
      <c r="N53" s="171">
        <v>0</v>
      </c>
      <c r="O53" s="171">
        <v>0</v>
      </c>
      <c r="P53" s="171">
        <v>0</v>
      </c>
      <c r="Q53" s="171">
        <v>0</v>
      </c>
      <c r="R53" s="171">
        <v>0</v>
      </c>
      <c r="S53" s="171">
        <v>0</v>
      </c>
      <c r="T53" s="171">
        <v>0</v>
      </c>
      <c r="U53" s="171">
        <v>0</v>
      </c>
      <c r="V53" s="171">
        <v>0</v>
      </c>
      <c r="W53" s="180">
        <v>0</v>
      </c>
      <c r="X53" s="180">
        <v>0</v>
      </c>
      <c r="Y53" s="180">
        <v>0</v>
      </c>
      <c r="Z53" s="181">
        <v>0</v>
      </c>
    </row>
    <row r="54" spans="1:26" x14ac:dyDescent="0.4">
      <c r="A54" s="104" t="s">
        <v>147</v>
      </c>
      <c r="B54" s="169">
        <v>31</v>
      </c>
      <c r="C54" s="87">
        <v>12</v>
      </c>
      <c r="D54" s="87">
        <v>19</v>
      </c>
      <c r="E54" s="87">
        <v>2</v>
      </c>
      <c r="F54" s="87">
        <v>3</v>
      </c>
      <c r="G54" s="87">
        <v>6</v>
      </c>
      <c r="H54" s="87">
        <v>20</v>
      </c>
      <c r="I54" s="87">
        <v>6</v>
      </c>
      <c r="J54" s="87">
        <v>11</v>
      </c>
      <c r="K54" s="87">
        <v>14</v>
      </c>
      <c r="L54" s="87">
        <v>2</v>
      </c>
      <c r="M54" s="87">
        <v>12</v>
      </c>
      <c r="N54" s="87">
        <v>2</v>
      </c>
      <c r="O54" s="87">
        <v>15</v>
      </c>
      <c r="P54" s="87">
        <v>6</v>
      </c>
      <c r="Q54" s="87">
        <v>13</v>
      </c>
      <c r="R54" s="87">
        <v>12</v>
      </c>
      <c r="S54" s="87">
        <v>9</v>
      </c>
      <c r="T54" s="87">
        <v>12</v>
      </c>
      <c r="U54" s="87">
        <v>3</v>
      </c>
      <c r="V54" s="87">
        <v>7</v>
      </c>
      <c r="W54" s="102">
        <v>24</v>
      </c>
      <c r="X54" s="102">
        <v>6</v>
      </c>
      <c r="Y54" s="102">
        <v>17</v>
      </c>
      <c r="Z54" s="182">
        <v>14</v>
      </c>
    </row>
    <row r="55" spans="1:26" x14ac:dyDescent="0.4">
      <c r="B55" s="170">
        <v>0</v>
      </c>
      <c r="C55" s="171">
        <v>0</v>
      </c>
      <c r="D55" s="171">
        <v>0</v>
      </c>
      <c r="E55" s="171">
        <v>0</v>
      </c>
      <c r="F55" s="171">
        <v>0</v>
      </c>
      <c r="G55" s="171">
        <v>0</v>
      </c>
      <c r="H55" s="171">
        <v>0</v>
      </c>
      <c r="I55" s="171">
        <v>0</v>
      </c>
      <c r="J55" s="171">
        <v>0</v>
      </c>
      <c r="K55" s="171">
        <v>0</v>
      </c>
      <c r="L55" s="171">
        <v>0</v>
      </c>
      <c r="M55" s="171">
        <v>0</v>
      </c>
      <c r="N55" s="171">
        <v>0</v>
      </c>
      <c r="O55" s="171">
        <v>0</v>
      </c>
      <c r="P55" s="171">
        <v>0</v>
      </c>
      <c r="Q55" s="171">
        <v>0</v>
      </c>
      <c r="R55" s="171">
        <v>0</v>
      </c>
      <c r="S55" s="171">
        <v>0</v>
      </c>
      <c r="T55" s="171">
        <v>0</v>
      </c>
      <c r="U55" s="171">
        <v>0</v>
      </c>
      <c r="V55" s="171">
        <v>0</v>
      </c>
      <c r="W55" s="180">
        <v>0</v>
      </c>
      <c r="X55" s="180">
        <v>0</v>
      </c>
      <c r="Y55" s="180">
        <v>0</v>
      </c>
      <c r="Z55" s="181">
        <v>0</v>
      </c>
    </row>
    <row r="56" spans="1:26" x14ac:dyDescent="0.4">
      <c r="A56" s="104" t="s">
        <v>148</v>
      </c>
      <c r="B56" s="169">
        <v>50</v>
      </c>
      <c r="C56" s="87">
        <v>20</v>
      </c>
      <c r="D56" s="87">
        <v>28</v>
      </c>
      <c r="E56" s="87">
        <v>10</v>
      </c>
      <c r="F56" s="87">
        <v>14</v>
      </c>
      <c r="G56" s="87">
        <v>12</v>
      </c>
      <c r="H56" s="87">
        <v>14</v>
      </c>
      <c r="I56" s="87">
        <v>4</v>
      </c>
      <c r="J56" s="87">
        <v>24</v>
      </c>
      <c r="K56" s="87">
        <v>21</v>
      </c>
      <c r="L56" s="87">
        <v>8</v>
      </c>
      <c r="M56" s="87">
        <v>14</v>
      </c>
      <c r="N56" s="87">
        <v>19</v>
      </c>
      <c r="O56" s="87">
        <v>8</v>
      </c>
      <c r="P56" s="87">
        <v>23</v>
      </c>
      <c r="Q56" s="87">
        <v>20</v>
      </c>
      <c r="R56" s="87">
        <v>6</v>
      </c>
      <c r="S56" s="87">
        <v>8</v>
      </c>
      <c r="T56" s="87">
        <v>14</v>
      </c>
      <c r="U56" s="87">
        <v>11</v>
      </c>
      <c r="V56" s="87">
        <v>17</v>
      </c>
      <c r="W56" s="102">
        <v>33</v>
      </c>
      <c r="X56" s="102">
        <v>13</v>
      </c>
      <c r="Y56" s="102">
        <v>27</v>
      </c>
      <c r="Z56" s="182">
        <v>20</v>
      </c>
    </row>
    <row r="57" spans="1:26" x14ac:dyDescent="0.4">
      <c r="B57" s="170">
        <v>0</v>
      </c>
      <c r="C57" s="171">
        <v>0</v>
      </c>
      <c r="D57" s="171">
        <v>0</v>
      </c>
      <c r="E57" s="171">
        <v>0</v>
      </c>
      <c r="F57" s="171">
        <v>0</v>
      </c>
      <c r="G57" s="171">
        <v>0</v>
      </c>
      <c r="H57" s="171">
        <v>0</v>
      </c>
      <c r="I57" s="171">
        <v>0</v>
      </c>
      <c r="J57" s="171">
        <v>0</v>
      </c>
      <c r="K57" s="171">
        <v>0</v>
      </c>
      <c r="L57" s="171">
        <v>0</v>
      </c>
      <c r="M57" s="171">
        <v>0</v>
      </c>
      <c r="N57" s="171">
        <v>0.01</v>
      </c>
      <c r="O57" s="171">
        <v>0</v>
      </c>
      <c r="P57" s="171">
        <v>0</v>
      </c>
      <c r="Q57" s="171">
        <v>0</v>
      </c>
      <c r="R57" s="171">
        <v>0</v>
      </c>
      <c r="S57" s="171">
        <v>0</v>
      </c>
      <c r="T57" s="171">
        <v>0</v>
      </c>
      <c r="U57" s="171">
        <v>0</v>
      </c>
      <c r="V57" s="171">
        <v>0</v>
      </c>
      <c r="W57" s="180">
        <v>0</v>
      </c>
      <c r="X57" s="180">
        <v>0</v>
      </c>
      <c r="Y57" s="180">
        <v>0</v>
      </c>
      <c r="Z57" s="181">
        <v>0</v>
      </c>
    </row>
    <row r="58" spans="1:26" x14ac:dyDescent="0.4">
      <c r="A58" s="104" t="s">
        <v>149</v>
      </c>
      <c r="B58" s="169">
        <v>48</v>
      </c>
      <c r="C58" s="87">
        <v>17</v>
      </c>
      <c r="D58" s="87">
        <v>30</v>
      </c>
      <c r="E58" s="87">
        <v>7</v>
      </c>
      <c r="F58" s="87">
        <v>10</v>
      </c>
      <c r="G58" s="87">
        <v>15</v>
      </c>
      <c r="H58" s="87">
        <v>16</v>
      </c>
      <c r="I58" s="87">
        <v>2</v>
      </c>
      <c r="J58" s="87">
        <v>22</v>
      </c>
      <c r="K58" s="87">
        <v>24</v>
      </c>
      <c r="L58" s="87">
        <v>4</v>
      </c>
      <c r="M58" s="87">
        <v>17</v>
      </c>
      <c r="N58" s="87">
        <v>14</v>
      </c>
      <c r="O58" s="87">
        <v>12</v>
      </c>
      <c r="P58" s="87">
        <v>23</v>
      </c>
      <c r="Q58" s="87">
        <v>21</v>
      </c>
      <c r="R58" s="87">
        <v>4</v>
      </c>
      <c r="S58" s="87">
        <v>9</v>
      </c>
      <c r="T58" s="87">
        <v>15</v>
      </c>
      <c r="U58" s="87">
        <v>8</v>
      </c>
      <c r="V58" s="87">
        <v>16</v>
      </c>
      <c r="W58" s="102">
        <v>29</v>
      </c>
      <c r="X58" s="102">
        <v>15</v>
      </c>
      <c r="Y58" s="102">
        <v>21</v>
      </c>
      <c r="Z58" s="182">
        <v>21</v>
      </c>
    </row>
    <row r="59" spans="1:26" x14ac:dyDescent="0.4">
      <c r="B59" s="170">
        <v>0</v>
      </c>
      <c r="C59" s="171">
        <v>0</v>
      </c>
      <c r="D59" s="171">
        <v>0</v>
      </c>
      <c r="E59" s="171">
        <v>0</v>
      </c>
      <c r="F59" s="171">
        <v>0</v>
      </c>
      <c r="G59" s="171">
        <v>0</v>
      </c>
      <c r="H59" s="171">
        <v>0</v>
      </c>
      <c r="I59" s="171">
        <v>0</v>
      </c>
      <c r="J59" s="171">
        <v>0</v>
      </c>
      <c r="K59" s="171">
        <v>0</v>
      </c>
      <c r="L59" s="171">
        <v>0</v>
      </c>
      <c r="M59" s="171">
        <v>0</v>
      </c>
      <c r="N59" s="171">
        <v>0</v>
      </c>
      <c r="O59" s="171">
        <v>0</v>
      </c>
      <c r="P59" s="171">
        <v>0</v>
      </c>
      <c r="Q59" s="171">
        <v>0</v>
      </c>
      <c r="R59" s="171">
        <v>0</v>
      </c>
      <c r="S59" s="171">
        <v>0</v>
      </c>
      <c r="T59" s="171">
        <v>0</v>
      </c>
      <c r="U59" s="171">
        <v>0</v>
      </c>
      <c r="V59" s="171">
        <v>0</v>
      </c>
      <c r="W59" s="180">
        <v>0</v>
      </c>
      <c r="X59" s="180">
        <v>0</v>
      </c>
      <c r="Y59" s="180">
        <v>0</v>
      </c>
      <c r="Z59" s="181">
        <v>0</v>
      </c>
    </row>
    <row r="60" spans="1:26" x14ac:dyDescent="0.4">
      <c r="A60" s="104" t="s">
        <v>150</v>
      </c>
      <c r="B60" s="169">
        <v>53</v>
      </c>
      <c r="C60" s="87">
        <v>18</v>
      </c>
      <c r="D60" s="87">
        <v>34</v>
      </c>
      <c r="E60" s="87">
        <v>7</v>
      </c>
      <c r="F60" s="87">
        <v>12</v>
      </c>
      <c r="G60" s="87">
        <v>16</v>
      </c>
      <c r="H60" s="87">
        <v>18</v>
      </c>
      <c r="I60" s="87">
        <v>4</v>
      </c>
      <c r="J60" s="87">
        <v>23</v>
      </c>
      <c r="K60" s="87">
        <v>26</v>
      </c>
      <c r="L60" s="87">
        <v>7</v>
      </c>
      <c r="M60" s="87">
        <v>18</v>
      </c>
      <c r="N60" s="87">
        <v>11</v>
      </c>
      <c r="O60" s="87">
        <v>16</v>
      </c>
      <c r="P60" s="87">
        <v>33</v>
      </c>
      <c r="Q60" s="87">
        <v>13</v>
      </c>
      <c r="R60" s="87">
        <v>6</v>
      </c>
      <c r="S60" s="87">
        <v>10</v>
      </c>
      <c r="T60" s="87">
        <v>20</v>
      </c>
      <c r="U60" s="87">
        <v>8</v>
      </c>
      <c r="V60" s="87">
        <v>14</v>
      </c>
      <c r="W60" s="102">
        <v>32</v>
      </c>
      <c r="X60" s="102">
        <v>15</v>
      </c>
      <c r="Y60" s="102">
        <v>24</v>
      </c>
      <c r="Z60" s="182">
        <v>24</v>
      </c>
    </row>
    <row r="61" spans="1:26" x14ac:dyDescent="0.4">
      <c r="B61" s="170">
        <v>0</v>
      </c>
      <c r="C61" s="171">
        <v>0</v>
      </c>
      <c r="D61" s="171">
        <v>0</v>
      </c>
      <c r="E61" s="171">
        <v>0</v>
      </c>
      <c r="F61" s="171">
        <v>0</v>
      </c>
      <c r="G61" s="171">
        <v>0</v>
      </c>
      <c r="H61" s="171">
        <v>0</v>
      </c>
      <c r="I61" s="171">
        <v>0</v>
      </c>
      <c r="J61" s="171">
        <v>0</v>
      </c>
      <c r="K61" s="171">
        <v>0</v>
      </c>
      <c r="L61" s="171">
        <v>0</v>
      </c>
      <c r="M61" s="171">
        <v>0</v>
      </c>
      <c r="N61" s="171">
        <v>0</v>
      </c>
      <c r="O61" s="171">
        <v>0</v>
      </c>
      <c r="P61" s="171">
        <v>0</v>
      </c>
      <c r="Q61" s="171">
        <v>0</v>
      </c>
      <c r="R61" s="171">
        <v>0</v>
      </c>
      <c r="S61" s="171">
        <v>0</v>
      </c>
      <c r="T61" s="171">
        <v>0</v>
      </c>
      <c r="U61" s="171">
        <v>0</v>
      </c>
      <c r="V61" s="171">
        <v>0</v>
      </c>
      <c r="W61" s="180">
        <v>0</v>
      </c>
      <c r="X61" s="180">
        <v>0</v>
      </c>
      <c r="Y61" s="180">
        <v>0</v>
      </c>
      <c r="Z61" s="181">
        <v>0</v>
      </c>
    </row>
    <row r="62" spans="1:26" x14ac:dyDescent="0.4">
      <c r="A62" s="104" t="s">
        <v>151</v>
      </c>
      <c r="B62" s="169">
        <v>60</v>
      </c>
      <c r="C62" s="87">
        <v>30</v>
      </c>
      <c r="D62" s="87">
        <v>31</v>
      </c>
      <c r="E62" s="87">
        <v>10</v>
      </c>
      <c r="F62" s="87">
        <v>13</v>
      </c>
      <c r="G62" s="87">
        <v>24</v>
      </c>
      <c r="H62" s="87">
        <v>13</v>
      </c>
      <c r="I62" s="87">
        <v>3</v>
      </c>
      <c r="J62" s="87">
        <v>31</v>
      </c>
      <c r="K62" s="87">
        <v>26</v>
      </c>
      <c r="L62" s="87">
        <v>6</v>
      </c>
      <c r="M62" s="87">
        <v>28</v>
      </c>
      <c r="N62" s="87">
        <v>16</v>
      </c>
      <c r="O62" s="87">
        <v>10</v>
      </c>
      <c r="P62" s="87">
        <v>44</v>
      </c>
      <c r="Q62" s="87">
        <v>10</v>
      </c>
      <c r="R62" s="87">
        <v>6</v>
      </c>
      <c r="S62" s="87">
        <v>15</v>
      </c>
      <c r="T62" s="87">
        <v>18</v>
      </c>
      <c r="U62" s="87">
        <v>13</v>
      </c>
      <c r="V62" s="87">
        <v>14</v>
      </c>
      <c r="W62" s="102">
        <v>34</v>
      </c>
      <c r="X62" s="102">
        <v>24</v>
      </c>
      <c r="Y62" s="102">
        <v>28</v>
      </c>
      <c r="Z62" s="182">
        <v>27</v>
      </c>
    </row>
    <row r="63" spans="1:26" x14ac:dyDescent="0.4">
      <c r="B63" s="170">
        <v>0</v>
      </c>
      <c r="C63" s="171">
        <v>0</v>
      </c>
      <c r="D63" s="171">
        <v>0</v>
      </c>
      <c r="E63" s="171">
        <v>0</v>
      </c>
      <c r="F63" s="171">
        <v>0</v>
      </c>
      <c r="G63" s="171">
        <v>0</v>
      </c>
      <c r="H63" s="171">
        <v>0</v>
      </c>
      <c r="I63" s="171">
        <v>0</v>
      </c>
      <c r="J63" s="171">
        <v>0</v>
      </c>
      <c r="K63" s="171">
        <v>0</v>
      </c>
      <c r="L63" s="171">
        <v>0</v>
      </c>
      <c r="M63" s="171">
        <v>0</v>
      </c>
      <c r="N63" s="171">
        <v>0.01</v>
      </c>
      <c r="O63" s="171">
        <v>0</v>
      </c>
      <c r="P63" s="171">
        <v>0</v>
      </c>
      <c r="Q63" s="171">
        <v>0</v>
      </c>
      <c r="R63" s="171">
        <v>0</v>
      </c>
      <c r="S63" s="171">
        <v>0</v>
      </c>
      <c r="T63" s="171">
        <v>0</v>
      </c>
      <c r="U63" s="171">
        <v>0</v>
      </c>
      <c r="V63" s="171">
        <v>0</v>
      </c>
      <c r="W63" s="180">
        <v>0</v>
      </c>
      <c r="X63" s="180">
        <v>0</v>
      </c>
      <c r="Y63" s="180">
        <v>0</v>
      </c>
      <c r="Z63" s="181">
        <v>0</v>
      </c>
    </row>
    <row r="64" spans="1:26" x14ac:dyDescent="0.4">
      <c r="A64" s="104" t="s">
        <v>152</v>
      </c>
      <c r="B64" s="169">
        <v>132</v>
      </c>
      <c r="C64" s="87">
        <v>65</v>
      </c>
      <c r="D64" s="87">
        <v>67</v>
      </c>
      <c r="E64" s="87">
        <v>13</v>
      </c>
      <c r="F64" s="87">
        <v>27</v>
      </c>
      <c r="G64" s="87">
        <v>42</v>
      </c>
      <c r="H64" s="87">
        <v>50</v>
      </c>
      <c r="I64" s="87">
        <v>12</v>
      </c>
      <c r="J64" s="87">
        <v>50</v>
      </c>
      <c r="K64" s="87">
        <v>70</v>
      </c>
      <c r="L64" s="87">
        <v>17</v>
      </c>
      <c r="M64" s="87">
        <v>61</v>
      </c>
      <c r="N64" s="87">
        <v>27</v>
      </c>
      <c r="O64" s="87">
        <v>26</v>
      </c>
      <c r="P64" s="87">
        <v>100</v>
      </c>
      <c r="Q64" s="87">
        <v>18</v>
      </c>
      <c r="R64" s="87">
        <v>14</v>
      </c>
      <c r="S64" s="87">
        <v>32</v>
      </c>
      <c r="T64" s="87">
        <v>47</v>
      </c>
      <c r="U64" s="87">
        <v>20</v>
      </c>
      <c r="V64" s="87">
        <v>33</v>
      </c>
      <c r="W64" s="102">
        <v>82</v>
      </c>
      <c r="X64" s="102">
        <v>45</v>
      </c>
      <c r="Y64" s="102">
        <v>56</v>
      </c>
      <c r="Z64" s="182">
        <v>66</v>
      </c>
    </row>
    <row r="65" spans="1:26" x14ac:dyDescent="0.4">
      <c r="B65" s="170">
        <v>0</v>
      </c>
      <c r="C65" s="171">
        <v>0</v>
      </c>
      <c r="D65" s="171">
        <v>0</v>
      </c>
      <c r="E65" s="171">
        <v>0</v>
      </c>
      <c r="F65" s="171">
        <v>0</v>
      </c>
      <c r="G65" s="171">
        <v>0.01</v>
      </c>
      <c r="H65" s="171">
        <v>0.01</v>
      </c>
      <c r="I65" s="171">
        <v>0</v>
      </c>
      <c r="J65" s="171">
        <v>0.01</v>
      </c>
      <c r="K65" s="171">
        <v>0</v>
      </c>
      <c r="L65" s="171">
        <v>0.01</v>
      </c>
      <c r="M65" s="171">
        <v>0</v>
      </c>
      <c r="N65" s="171">
        <v>0.01</v>
      </c>
      <c r="O65" s="171">
        <v>0</v>
      </c>
      <c r="P65" s="171">
        <v>0.01</v>
      </c>
      <c r="Q65" s="171">
        <v>0</v>
      </c>
      <c r="R65" s="171">
        <v>0</v>
      </c>
      <c r="S65" s="171">
        <v>0.01</v>
      </c>
      <c r="T65" s="171">
        <v>0</v>
      </c>
      <c r="U65" s="171">
        <v>0</v>
      </c>
      <c r="V65" s="171">
        <v>0.01</v>
      </c>
      <c r="W65" s="180">
        <v>0</v>
      </c>
      <c r="X65" s="180">
        <v>0.01</v>
      </c>
      <c r="Y65" s="180">
        <v>0.01</v>
      </c>
      <c r="Z65" s="181">
        <v>0</v>
      </c>
    </row>
    <row r="66" spans="1:26" x14ac:dyDescent="0.4">
      <c r="A66" s="104" t="s">
        <v>153</v>
      </c>
      <c r="B66" s="169">
        <v>90</v>
      </c>
      <c r="C66" s="87">
        <v>40</v>
      </c>
      <c r="D66" s="87">
        <v>49</v>
      </c>
      <c r="E66" s="87">
        <v>12</v>
      </c>
      <c r="F66" s="87">
        <v>21</v>
      </c>
      <c r="G66" s="87">
        <v>28</v>
      </c>
      <c r="H66" s="87">
        <v>29</v>
      </c>
      <c r="I66" s="87">
        <v>6</v>
      </c>
      <c r="J66" s="87">
        <v>42</v>
      </c>
      <c r="K66" s="87">
        <v>43</v>
      </c>
      <c r="L66" s="87">
        <v>13</v>
      </c>
      <c r="M66" s="87">
        <v>29</v>
      </c>
      <c r="N66" s="87">
        <v>27</v>
      </c>
      <c r="O66" s="87">
        <v>19</v>
      </c>
      <c r="P66" s="87">
        <v>50</v>
      </c>
      <c r="Q66" s="87">
        <v>27</v>
      </c>
      <c r="R66" s="87">
        <v>12</v>
      </c>
      <c r="S66" s="87">
        <v>23</v>
      </c>
      <c r="T66" s="87">
        <v>31</v>
      </c>
      <c r="U66" s="87">
        <v>17</v>
      </c>
      <c r="V66" s="87">
        <v>20</v>
      </c>
      <c r="W66" s="102">
        <v>53</v>
      </c>
      <c r="X66" s="102">
        <v>32</v>
      </c>
      <c r="Y66" s="102">
        <v>40</v>
      </c>
      <c r="Z66" s="182">
        <v>43</v>
      </c>
    </row>
    <row r="67" spans="1:26" x14ac:dyDescent="0.4">
      <c r="B67" s="170">
        <v>0</v>
      </c>
      <c r="C67" s="171">
        <v>0</v>
      </c>
      <c r="D67" s="171">
        <v>0</v>
      </c>
      <c r="E67" s="171">
        <v>0</v>
      </c>
      <c r="F67" s="171">
        <v>0</v>
      </c>
      <c r="G67" s="171">
        <v>0</v>
      </c>
      <c r="H67" s="171">
        <v>0</v>
      </c>
      <c r="I67" s="171">
        <v>0</v>
      </c>
      <c r="J67" s="171">
        <v>0</v>
      </c>
      <c r="K67" s="171">
        <v>0</v>
      </c>
      <c r="L67" s="171">
        <v>0</v>
      </c>
      <c r="M67" s="171">
        <v>0</v>
      </c>
      <c r="N67" s="171">
        <v>0.01</v>
      </c>
      <c r="O67" s="171">
        <v>0</v>
      </c>
      <c r="P67" s="171">
        <v>0</v>
      </c>
      <c r="Q67" s="171">
        <v>0</v>
      </c>
      <c r="R67" s="171">
        <v>0</v>
      </c>
      <c r="S67" s="171">
        <v>0</v>
      </c>
      <c r="T67" s="171">
        <v>0</v>
      </c>
      <c r="U67" s="171">
        <v>0</v>
      </c>
      <c r="V67" s="171">
        <v>0</v>
      </c>
      <c r="W67" s="180">
        <v>0</v>
      </c>
      <c r="X67" s="180">
        <v>0</v>
      </c>
      <c r="Y67" s="180">
        <v>0</v>
      </c>
      <c r="Z67" s="181">
        <v>0</v>
      </c>
    </row>
    <row r="68" spans="1:26" x14ac:dyDescent="0.4">
      <c r="A68" s="104" t="s">
        <v>154</v>
      </c>
      <c r="B68" s="169">
        <v>55</v>
      </c>
      <c r="C68" s="87">
        <v>25</v>
      </c>
      <c r="D68" s="87">
        <v>30</v>
      </c>
      <c r="E68" s="87">
        <v>6</v>
      </c>
      <c r="F68" s="87">
        <v>26</v>
      </c>
      <c r="G68" s="87">
        <v>19</v>
      </c>
      <c r="H68" s="87">
        <v>5</v>
      </c>
      <c r="I68" s="87">
        <v>7</v>
      </c>
      <c r="J68" s="87">
        <v>4</v>
      </c>
      <c r="K68" s="87">
        <v>45</v>
      </c>
      <c r="L68" s="87">
        <v>6</v>
      </c>
      <c r="M68" s="87">
        <v>36</v>
      </c>
      <c r="N68" s="87">
        <v>3</v>
      </c>
      <c r="O68" s="87">
        <v>10</v>
      </c>
      <c r="P68" s="87">
        <v>31</v>
      </c>
      <c r="Q68" s="87">
        <v>13</v>
      </c>
      <c r="R68" s="87">
        <v>9</v>
      </c>
      <c r="S68" s="87">
        <v>4</v>
      </c>
      <c r="T68" s="87">
        <v>21</v>
      </c>
      <c r="U68" s="87">
        <v>13</v>
      </c>
      <c r="V68" s="87">
        <v>18</v>
      </c>
      <c r="W68" s="102">
        <v>37</v>
      </c>
      <c r="X68" s="102">
        <v>14</v>
      </c>
      <c r="Y68" s="102">
        <v>28</v>
      </c>
      <c r="Z68" s="182">
        <v>24</v>
      </c>
    </row>
    <row r="69" spans="1:26" x14ac:dyDescent="0.4">
      <c r="B69" s="170">
        <v>0</v>
      </c>
      <c r="C69" s="171">
        <v>0</v>
      </c>
      <c r="D69" s="171">
        <v>0</v>
      </c>
      <c r="E69" s="171">
        <v>0</v>
      </c>
      <c r="F69" s="171">
        <v>0</v>
      </c>
      <c r="G69" s="171">
        <v>0</v>
      </c>
      <c r="H69" s="171">
        <v>0</v>
      </c>
      <c r="I69" s="171">
        <v>0</v>
      </c>
      <c r="J69" s="171">
        <v>0</v>
      </c>
      <c r="K69" s="171">
        <v>0</v>
      </c>
      <c r="L69" s="171">
        <v>0</v>
      </c>
      <c r="M69" s="171">
        <v>0</v>
      </c>
      <c r="N69" s="171">
        <v>0</v>
      </c>
      <c r="O69" s="171">
        <v>0</v>
      </c>
      <c r="P69" s="171">
        <v>0</v>
      </c>
      <c r="Q69" s="171">
        <v>0</v>
      </c>
      <c r="R69" s="171">
        <v>0</v>
      </c>
      <c r="S69" s="171">
        <v>0</v>
      </c>
      <c r="T69" s="171">
        <v>0</v>
      </c>
      <c r="U69" s="171">
        <v>0</v>
      </c>
      <c r="V69" s="171">
        <v>0</v>
      </c>
      <c r="W69" s="180">
        <v>0</v>
      </c>
      <c r="X69" s="180">
        <v>0</v>
      </c>
      <c r="Y69" s="180">
        <v>0</v>
      </c>
      <c r="Z69" s="181">
        <v>0</v>
      </c>
    </row>
    <row r="70" spans="1:26" x14ac:dyDescent="0.4">
      <c r="A70" s="104" t="s">
        <v>155</v>
      </c>
      <c r="B70" s="169">
        <v>80</v>
      </c>
      <c r="C70" s="87">
        <v>42</v>
      </c>
      <c r="D70" s="87">
        <v>37</v>
      </c>
      <c r="E70" s="87">
        <v>10</v>
      </c>
      <c r="F70" s="87">
        <v>33</v>
      </c>
      <c r="G70" s="87">
        <v>20</v>
      </c>
      <c r="H70" s="87">
        <v>18</v>
      </c>
      <c r="I70" s="87">
        <v>13</v>
      </c>
      <c r="J70" s="87">
        <v>31</v>
      </c>
      <c r="K70" s="87">
        <v>36</v>
      </c>
      <c r="L70" s="87">
        <v>16</v>
      </c>
      <c r="M70" s="87">
        <v>52</v>
      </c>
      <c r="N70" s="87">
        <v>1</v>
      </c>
      <c r="O70" s="87">
        <v>11</v>
      </c>
      <c r="P70" s="87">
        <v>72</v>
      </c>
      <c r="Q70" s="87">
        <v>3</v>
      </c>
      <c r="R70" s="87">
        <v>5</v>
      </c>
      <c r="S70" s="87">
        <v>20</v>
      </c>
      <c r="T70" s="87">
        <v>32</v>
      </c>
      <c r="U70" s="87">
        <v>11</v>
      </c>
      <c r="V70" s="87">
        <v>18</v>
      </c>
      <c r="W70" s="102">
        <v>44</v>
      </c>
      <c r="X70" s="102">
        <v>34</v>
      </c>
      <c r="Y70" s="102">
        <v>30</v>
      </c>
      <c r="Z70" s="182">
        <v>45</v>
      </c>
    </row>
    <row r="71" spans="1:26" x14ac:dyDescent="0.4">
      <c r="B71" s="170">
        <v>0</v>
      </c>
      <c r="C71" s="171">
        <v>0</v>
      </c>
      <c r="D71" s="171">
        <v>0</v>
      </c>
      <c r="E71" s="171">
        <v>0</v>
      </c>
      <c r="F71" s="171">
        <v>0</v>
      </c>
      <c r="G71" s="171">
        <v>0</v>
      </c>
      <c r="H71" s="171">
        <v>0</v>
      </c>
      <c r="I71" s="171">
        <v>0</v>
      </c>
      <c r="J71" s="171">
        <v>0</v>
      </c>
      <c r="K71" s="171">
        <v>0</v>
      </c>
      <c r="L71" s="171">
        <v>0.01</v>
      </c>
      <c r="M71" s="171">
        <v>0</v>
      </c>
      <c r="N71" s="171">
        <v>0</v>
      </c>
      <c r="O71" s="171">
        <v>0</v>
      </c>
      <c r="P71" s="171">
        <v>0.01</v>
      </c>
      <c r="Q71" s="171">
        <v>0</v>
      </c>
      <c r="R71" s="171">
        <v>0</v>
      </c>
      <c r="S71" s="171">
        <v>0</v>
      </c>
      <c r="T71" s="171">
        <v>0</v>
      </c>
      <c r="U71" s="171">
        <v>0</v>
      </c>
      <c r="V71" s="171">
        <v>0</v>
      </c>
      <c r="W71" s="180">
        <v>0</v>
      </c>
      <c r="X71" s="180">
        <v>0</v>
      </c>
      <c r="Y71" s="180">
        <v>0</v>
      </c>
      <c r="Z71" s="181">
        <v>0</v>
      </c>
    </row>
    <row r="72" spans="1:26" x14ac:dyDescent="0.4">
      <c r="A72" s="104" t="s">
        <v>156</v>
      </c>
      <c r="B72" s="169">
        <v>82</v>
      </c>
      <c r="C72" s="87">
        <v>39</v>
      </c>
      <c r="D72" s="87">
        <v>42</v>
      </c>
      <c r="E72" s="87">
        <v>12</v>
      </c>
      <c r="F72" s="87">
        <v>18</v>
      </c>
      <c r="G72" s="87">
        <v>27</v>
      </c>
      <c r="H72" s="87">
        <v>25</v>
      </c>
      <c r="I72" s="87">
        <v>11</v>
      </c>
      <c r="J72" s="87">
        <v>49</v>
      </c>
      <c r="K72" s="87">
        <v>22</v>
      </c>
      <c r="L72" s="87">
        <v>6</v>
      </c>
      <c r="M72" s="87">
        <v>44</v>
      </c>
      <c r="N72" s="87">
        <v>5</v>
      </c>
      <c r="O72" s="87">
        <v>26</v>
      </c>
      <c r="P72" s="87">
        <v>7</v>
      </c>
      <c r="Q72" s="87">
        <v>29</v>
      </c>
      <c r="R72" s="87">
        <v>46</v>
      </c>
      <c r="S72" s="87">
        <v>27</v>
      </c>
      <c r="T72" s="87">
        <v>32</v>
      </c>
      <c r="U72" s="87">
        <v>10</v>
      </c>
      <c r="V72" s="87">
        <v>13</v>
      </c>
      <c r="W72" s="102">
        <v>38</v>
      </c>
      <c r="X72" s="102">
        <v>37</v>
      </c>
      <c r="Y72" s="102">
        <v>23</v>
      </c>
      <c r="Z72" s="182">
        <v>51</v>
      </c>
    </row>
    <row r="73" spans="1:26" x14ac:dyDescent="0.4">
      <c r="B73" s="170">
        <v>0</v>
      </c>
      <c r="C73" s="171">
        <v>0</v>
      </c>
      <c r="D73" s="171">
        <v>0</v>
      </c>
      <c r="E73" s="171">
        <v>0</v>
      </c>
      <c r="F73" s="171">
        <v>0</v>
      </c>
      <c r="G73" s="171">
        <v>0</v>
      </c>
      <c r="H73" s="171">
        <v>0</v>
      </c>
      <c r="I73" s="171">
        <v>0</v>
      </c>
      <c r="J73" s="171">
        <v>0.01</v>
      </c>
      <c r="K73" s="171">
        <v>0</v>
      </c>
      <c r="L73" s="171">
        <v>0</v>
      </c>
      <c r="M73" s="171">
        <v>0</v>
      </c>
      <c r="N73" s="171">
        <v>0</v>
      </c>
      <c r="O73" s="171">
        <v>0</v>
      </c>
      <c r="P73" s="171">
        <v>0</v>
      </c>
      <c r="Q73" s="171">
        <v>0</v>
      </c>
      <c r="R73" s="171">
        <v>0.01</v>
      </c>
      <c r="S73" s="171">
        <v>0</v>
      </c>
      <c r="T73" s="171">
        <v>0</v>
      </c>
      <c r="U73" s="171">
        <v>0</v>
      </c>
      <c r="V73" s="171">
        <v>0</v>
      </c>
      <c r="W73" s="180">
        <v>0</v>
      </c>
      <c r="X73" s="180">
        <v>0</v>
      </c>
      <c r="Y73" s="180">
        <v>0</v>
      </c>
      <c r="Z73" s="181">
        <v>0</v>
      </c>
    </row>
    <row r="74" spans="1:26" x14ac:dyDescent="0.4">
      <c r="A74" s="104" t="s">
        <v>157</v>
      </c>
      <c r="B74" s="169">
        <v>76</v>
      </c>
      <c r="C74" s="87">
        <v>38</v>
      </c>
      <c r="D74" s="87">
        <v>38</v>
      </c>
      <c r="E74" s="87">
        <v>10</v>
      </c>
      <c r="F74" s="87">
        <v>10</v>
      </c>
      <c r="G74" s="87">
        <v>24</v>
      </c>
      <c r="H74" s="87">
        <v>31</v>
      </c>
      <c r="I74" s="87">
        <v>8</v>
      </c>
      <c r="J74" s="87">
        <v>49</v>
      </c>
      <c r="K74" s="87">
        <v>18</v>
      </c>
      <c r="L74" s="87">
        <v>5</v>
      </c>
      <c r="M74" s="87">
        <v>34</v>
      </c>
      <c r="N74" s="87">
        <v>8</v>
      </c>
      <c r="O74" s="87">
        <v>28</v>
      </c>
      <c r="P74" s="87">
        <v>26</v>
      </c>
      <c r="Q74" s="87">
        <v>15</v>
      </c>
      <c r="R74" s="87">
        <v>34</v>
      </c>
      <c r="S74" s="87">
        <v>22</v>
      </c>
      <c r="T74" s="87">
        <v>27</v>
      </c>
      <c r="U74" s="87">
        <v>11</v>
      </c>
      <c r="V74" s="87">
        <v>15</v>
      </c>
      <c r="W74" s="102">
        <v>43</v>
      </c>
      <c r="X74" s="102">
        <v>29</v>
      </c>
      <c r="Y74" s="102">
        <v>27</v>
      </c>
      <c r="Z74" s="182">
        <v>44</v>
      </c>
    </row>
    <row r="75" spans="1:26" x14ac:dyDescent="0.4">
      <c r="B75" s="170">
        <v>0</v>
      </c>
      <c r="C75" s="171">
        <v>0</v>
      </c>
      <c r="D75" s="171">
        <v>0</v>
      </c>
      <c r="E75" s="171">
        <v>0</v>
      </c>
      <c r="F75" s="171">
        <v>0</v>
      </c>
      <c r="G75" s="171">
        <v>0</v>
      </c>
      <c r="H75" s="171">
        <v>0</v>
      </c>
      <c r="I75" s="171">
        <v>0</v>
      </c>
      <c r="J75" s="171">
        <v>0.01</v>
      </c>
      <c r="K75" s="171">
        <v>0</v>
      </c>
      <c r="L75" s="171">
        <v>0</v>
      </c>
      <c r="M75" s="171">
        <v>0</v>
      </c>
      <c r="N75" s="171">
        <v>0</v>
      </c>
      <c r="O75" s="171">
        <v>0</v>
      </c>
      <c r="P75" s="171">
        <v>0</v>
      </c>
      <c r="Q75" s="171">
        <v>0</v>
      </c>
      <c r="R75" s="171">
        <v>0.01</v>
      </c>
      <c r="S75" s="171">
        <v>0</v>
      </c>
      <c r="T75" s="171">
        <v>0</v>
      </c>
      <c r="U75" s="171">
        <v>0</v>
      </c>
      <c r="V75" s="171">
        <v>0</v>
      </c>
      <c r="W75" s="180">
        <v>0</v>
      </c>
      <c r="X75" s="180">
        <v>0</v>
      </c>
      <c r="Y75" s="180">
        <v>0</v>
      </c>
      <c r="Z75" s="181">
        <v>0</v>
      </c>
    </row>
    <row r="76" spans="1:26" x14ac:dyDescent="0.4">
      <c r="A76" s="104" t="s">
        <v>158</v>
      </c>
      <c r="B76" s="169">
        <v>67</v>
      </c>
      <c r="C76" s="87">
        <v>29</v>
      </c>
      <c r="D76" s="87">
        <v>37</v>
      </c>
      <c r="E76" s="87">
        <v>10</v>
      </c>
      <c r="F76" s="87">
        <v>14</v>
      </c>
      <c r="G76" s="87">
        <v>18</v>
      </c>
      <c r="H76" s="87">
        <v>25</v>
      </c>
      <c r="I76" s="87">
        <v>15</v>
      </c>
      <c r="J76" s="87">
        <v>32</v>
      </c>
      <c r="K76" s="87">
        <v>20</v>
      </c>
      <c r="L76" s="87">
        <v>7</v>
      </c>
      <c r="M76" s="87">
        <v>32</v>
      </c>
      <c r="N76" s="87">
        <v>1</v>
      </c>
      <c r="O76" s="87">
        <v>24</v>
      </c>
      <c r="P76" s="87">
        <v>14</v>
      </c>
      <c r="Q76" s="87">
        <v>37</v>
      </c>
      <c r="R76" s="87">
        <v>15</v>
      </c>
      <c r="S76" s="87">
        <v>20</v>
      </c>
      <c r="T76" s="87">
        <v>24</v>
      </c>
      <c r="U76" s="87">
        <v>7</v>
      </c>
      <c r="V76" s="87">
        <v>15</v>
      </c>
      <c r="W76" s="102">
        <v>36</v>
      </c>
      <c r="X76" s="102">
        <v>25</v>
      </c>
      <c r="Y76" s="102">
        <v>20</v>
      </c>
      <c r="Z76" s="182">
        <v>40</v>
      </c>
    </row>
    <row r="77" spans="1:26" x14ac:dyDescent="0.4">
      <c r="B77" s="170">
        <v>0</v>
      </c>
      <c r="C77" s="171">
        <v>0</v>
      </c>
      <c r="D77" s="171">
        <v>0</v>
      </c>
      <c r="E77" s="171">
        <v>0</v>
      </c>
      <c r="F77" s="171">
        <v>0</v>
      </c>
      <c r="G77" s="171">
        <v>0</v>
      </c>
      <c r="H77" s="171">
        <v>0</v>
      </c>
      <c r="I77" s="171">
        <v>0</v>
      </c>
      <c r="J77" s="171">
        <v>0</v>
      </c>
      <c r="K77" s="171">
        <v>0</v>
      </c>
      <c r="L77" s="171">
        <v>0</v>
      </c>
      <c r="M77" s="171">
        <v>0</v>
      </c>
      <c r="N77" s="171">
        <v>0</v>
      </c>
      <c r="O77" s="171">
        <v>0</v>
      </c>
      <c r="P77" s="171">
        <v>0</v>
      </c>
      <c r="Q77" s="171">
        <v>0</v>
      </c>
      <c r="R77" s="171">
        <v>0</v>
      </c>
      <c r="S77" s="171">
        <v>0</v>
      </c>
      <c r="T77" s="171">
        <v>0</v>
      </c>
      <c r="U77" s="171">
        <v>0</v>
      </c>
      <c r="V77" s="171">
        <v>0</v>
      </c>
      <c r="W77" s="180">
        <v>0</v>
      </c>
      <c r="X77" s="180">
        <v>0</v>
      </c>
      <c r="Y77" s="180">
        <v>0</v>
      </c>
      <c r="Z77" s="181">
        <v>0</v>
      </c>
    </row>
    <row r="78" spans="1:26" x14ac:dyDescent="0.4">
      <c r="A78" s="104" t="s">
        <v>159</v>
      </c>
      <c r="B78" s="169">
        <v>88</v>
      </c>
      <c r="C78" s="87">
        <v>37</v>
      </c>
      <c r="D78" s="87">
        <v>51</v>
      </c>
      <c r="E78" s="87">
        <v>5</v>
      </c>
      <c r="F78" s="87">
        <v>15</v>
      </c>
      <c r="G78" s="87">
        <v>27</v>
      </c>
      <c r="H78" s="87">
        <v>41</v>
      </c>
      <c r="I78" s="87">
        <v>23</v>
      </c>
      <c r="J78" s="87">
        <v>44</v>
      </c>
      <c r="K78" s="87">
        <v>21</v>
      </c>
      <c r="L78" s="87">
        <v>5</v>
      </c>
      <c r="M78" s="87">
        <v>41</v>
      </c>
      <c r="N78" s="87">
        <v>6</v>
      </c>
      <c r="O78" s="87">
        <v>35</v>
      </c>
      <c r="P78" s="87">
        <v>16</v>
      </c>
      <c r="Q78" s="87">
        <v>31</v>
      </c>
      <c r="R78" s="87">
        <v>41</v>
      </c>
      <c r="S78" s="87">
        <v>25</v>
      </c>
      <c r="T78" s="87">
        <v>42</v>
      </c>
      <c r="U78" s="87">
        <v>10</v>
      </c>
      <c r="V78" s="87">
        <v>11</v>
      </c>
      <c r="W78" s="102">
        <v>48</v>
      </c>
      <c r="X78" s="102">
        <v>35</v>
      </c>
      <c r="Y78" s="102">
        <v>26</v>
      </c>
      <c r="Z78" s="182">
        <v>59</v>
      </c>
    </row>
    <row r="79" spans="1:26" x14ac:dyDescent="0.4">
      <c r="B79" s="170">
        <v>0</v>
      </c>
      <c r="C79" s="171">
        <v>0</v>
      </c>
      <c r="D79" s="171">
        <v>0</v>
      </c>
      <c r="E79" s="171">
        <v>0</v>
      </c>
      <c r="F79" s="171">
        <v>0</v>
      </c>
      <c r="G79" s="171">
        <v>0</v>
      </c>
      <c r="H79" s="171">
        <v>0</v>
      </c>
      <c r="I79" s="171">
        <v>0.01</v>
      </c>
      <c r="J79" s="171">
        <v>0</v>
      </c>
      <c r="K79" s="171">
        <v>0</v>
      </c>
      <c r="L79" s="171">
        <v>0</v>
      </c>
      <c r="M79" s="171">
        <v>0</v>
      </c>
      <c r="N79" s="171">
        <v>0</v>
      </c>
      <c r="O79" s="171">
        <v>0.01</v>
      </c>
      <c r="P79" s="171">
        <v>0</v>
      </c>
      <c r="Q79" s="171">
        <v>0</v>
      </c>
      <c r="R79" s="171">
        <v>0.01</v>
      </c>
      <c r="S79" s="171">
        <v>0</v>
      </c>
      <c r="T79" s="171">
        <v>0</v>
      </c>
      <c r="U79" s="171">
        <v>0</v>
      </c>
      <c r="V79" s="171">
        <v>0</v>
      </c>
      <c r="W79" s="180">
        <v>0</v>
      </c>
      <c r="X79" s="180">
        <v>0</v>
      </c>
      <c r="Y79" s="180">
        <v>0</v>
      </c>
      <c r="Z79" s="181">
        <v>0</v>
      </c>
    </row>
    <row r="80" spans="1:26" x14ac:dyDescent="0.4">
      <c r="A80" s="104" t="s">
        <v>160</v>
      </c>
      <c r="B80" s="169">
        <v>103</v>
      </c>
      <c r="C80" s="87">
        <v>42</v>
      </c>
      <c r="D80" s="87">
        <v>61</v>
      </c>
      <c r="E80" s="87">
        <v>9</v>
      </c>
      <c r="F80" s="87">
        <v>17</v>
      </c>
      <c r="G80" s="87">
        <v>26</v>
      </c>
      <c r="H80" s="87">
        <v>52</v>
      </c>
      <c r="I80" s="87">
        <v>19</v>
      </c>
      <c r="J80" s="87">
        <v>56</v>
      </c>
      <c r="K80" s="87">
        <v>29</v>
      </c>
      <c r="L80" s="87">
        <v>5</v>
      </c>
      <c r="M80" s="87">
        <v>51</v>
      </c>
      <c r="N80" s="87">
        <v>4</v>
      </c>
      <c r="O80" s="87">
        <v>43</v>
      </c>
      <c r="P80" s="87">
        <v>36</v>
      </c>
      <c r="Q80" s="87">
        <v>23</v>
      </c>
      <c r="R80" s="87">
        <v>44</v>
      </c>
      <c r="S80" s="87">
        <v>27</v>
      </c>
      <c r="T80" s="87">
        <v>36</v>
      </c>
      <c r="U80" s="87">
        <v>24</v>
      </c>
      <c r="V80" s="87">
        <v>16</v>
      </c>
      <c r="W80" s="102">
        <v>51</v>
      </c>
      <c r="X80" s="102">
        <v>46</v>
      </c>
      <c r="Y80" s="102">
        <v>26</v>
      </c>
      <c r="Z80" s="182">
        <v>70</v>
      </c>
    </row>
    <row r="81" spans="1:26" x14ac:dyDescent="0.4">
      <c r="B81" s="170">
        <v>0</v>
      </c>
      <c r="C81" s="171">
        <v>0</v>
      </c>
      <c r="D81" s="171">
        <v>0</v>
      </c>
      <c r="E81" s="171">
        <v>0</v>
      </c>
      <c r="F81" s="171">
        <v>0</v>
      </c>
      <c r="G81" s="171">
        <v>0</v>
      </c>
      <c r="H81" s="171">
        <v>0.01</v>
      </c>
      <c r="I81" s="171">
        <v>0.01</v>
      </c>
      <c r="J81" s="171">
        <v>0.01</v>
      </c>
      <c r="K81" s="171">
        <v>0</v>
      </c>
      <c r="L81" s="171">
        <v>0</v>
      </c>
      <c r="M81" s="171">
        <v>0</v>
      </c>
      <c r="N81" s="171">
        <v>0</v>
      </c>
      <c r="O81" s="171">
        <v>0.01</v>
      </c>
      <c r="P81" s="171">
        <v>0</v>
      </c>
      <c r="Q81" s="171">
        <v>0</v>
      </c>
      <c r="R81" s="171">
        <v>0.01</v>
      </c>
      <c r="S81" s="171">
        <v>0</v>
      </c>
      <c r="T81" s="171">
        <v>0</v>
      </c>
      <c r="U81" s="171">
        <v>0.01</v>
      </c>
      <c r="V81" s="171">
        <v>0</v>
      </c>
      <c r="W81" s="180">
        <v>0</v>
      </c>
      <c r="X81" s="180">
        <v>0.01</v>
      </c>
      <c r="Y81" s="180">
        <v>0</v>
      </c>
      <c r="Z81" s="181">
        <v>0</v>
      </c>
    </row>
    <row r="82" spans="1:26" x14ac:dyDescent="0.4">
      <c r="A82" s="104" t="s">
        <v>161</v>
      </c>
      <c r="B82" s="169">
        <v>73</v>
      </c>
      <c r="C82" s="87">
        <v>34</v>
      </c>
      <c r="D82" s="87">
        <v>40</v>
      </c>
      <c r="E82" s="87">
        <v>7</v>
      </c>
      <c r="F82" s="87">
        <v>17</v>
      </c>
      <c r="G82" s="87">
        <v>16</v>
      </c>
      <c r="H82" s="87">
        <v>34</v>
      </c>
      <c r="I82" s="87">
        <v>10</v>
      </c>
      <c r="J82" s="87">
        <v>44</v>
      </c>
      <c r="K82" s="87">
        <v>19</v>
      </c>
      <c r="L82" s="87">
        <v>4</v>
      </c>
      <c r="M82" s="87">
        <v>43</v>
      </c>
      <c r="N82" s="87">
        <v>3</v>
      </c>
      <c r="O82" s="87">
        <v>24</v>
      </c>
      <c r="P82" s="87">
        <v>22</v>
      </c>
      <c r="Q82" s="87">
        <v>18</v>
      </c>
      <c r="R82" s="87">
        <v>33</v>
      </c>
      <c r="S82" s="87">
        <v>17</v>
      </c>
      <c r="T82" s="87">
        <v>32</v>
      </c>
      <c r="U82" s="87">
        <v>10</v>
      </c>
      <c r="V82" s="87">
        <v>15</v>
      </c>
      <c r="W82" s="102">
        <v>34</v>
      </c>
      <c r="X82" s="102">
        <v>30</v>
      </c>
      <c r="Y82" s="102">
        <v>19</v>
      </c>
      <c r="Z82" s="182">
        <v>49</v>
      </c>
    </row>
    <row r="83" spans="1:26" x14ac:dyDescent="0.4">
      <c r="B83" s="170">
        <v>0</v>
      </c>
      <c r="C83" s="171">
        <v>0</v>
      </c>
      <c r="D83" s="171">
        <v>0</v>
      </c>
      <c r="E83" s="171">
        <v>0</v>
      </c>
      <c r="F83" s="171">
        <v>0</v>
      </c>
      <c r="G83" s="171">
        <v>0</v>
      </c>
      <c r="H83" s="171">
        <v>0</v>
      </c>
      <c r="I83" s="171">
        <v>0</v>
      </c>
      <c r="J83" s="171">
        <v>0</v>
      </c>
      <c r="K83" s="171">
        <v>0</v>
      </c>
      <c r="L83" s="171">
        <v>0</v>
      </c>
      <c r="M83" s="171">
        <v>0</v>
      </c>
      <c r="N83" s="171">
        <v>0</v>
      </c>
      <c r="O83" s="171">
        <v>0</v>
      </c>
      <c r="P83" s="171">
        <v>0</v>
      </c>
      <c r="Q83" s="171">
        <v>0</v>
      </c>
      <c r="R83" s="171">
        <v>0.01</v>
      </c>
      <c r="S83" s="171">
        <v>0</v>
      </c>
      <c r="T83" s="171">
        <v>0</v>
      </c>
      <c r="U83" s="171">
        <v>0</v>
      </c>
      <c r="V83" s="171">
        <v>0</v>
      </c>
      <c r="W83" s="180">
        <v>0</v>
      </c>
      <c r="X83" s="180">
        <v>0</v>
      </c>
      <c r="Y83" s="180">
        <v>0</v>
      </c>
      <c r="Z83" s="181">
        <v>0</v>
      </c>
    </row>
    <row r="84" spans="1:26" x14ac:dyDescent="0.4">
      <c r="A84" s="104" t="s">
        <v>162</v>
      </c>
      <c r="B84" s="169">
        <v>73</v>
      </c>
      <c r="C84" s="87">
        <v>33</v>
      </c>
      <c r="D84" s="87">
        <v>39</v>
      </c>
      <c r="E84" s="87">
        <v>9</v>
      </c>
      <c r="F84" s="87">
        <v>18</v>
      </c>
      <c r="G84" s="87">
        <v>21</v>
      </c>
      <c r="H84" s="87">
        <v>25</v>
      </c>
      <c r="I84" s="87">
        <v>12</v>
      </c>
      <c r="J84" s="87">
        <v>35</v>
      </c>
      <c r="K84" s="87">
        <v>26</v>
      </c>
      <c r="L84" s="87">
        <v>6</v>
      </c>
      <c r="M84" s="87">
        <v>40</v>
      </c>
      <c r="N84" s="87">
        <v>6</v>
      </c>
      <c r="O84" s="87">
        <v>20</v>
      </c>
      <c r="P84" s="87">
        <v>24</v>
      </c>
      <c r="Q84" s="87">
        <v>35</v>
      </c>
      <c r="R84" s="87">
        <v>14</v>
      </c>
      <c r="S84" s="87">
        <v>15</v>
      </c>
      <c r="T84" s="87">
        <v>34</v>
      </c>
      <c r="U84" s="87">
        <v>10</v>
      </c>
      <c r="V84" s="87">
        <v>14</v>
      </c>
      <c r="W84" s="102">
        <v>39</v>
      </c>
      <c r="X84" s="102">
        <v>30</v>
      </c>
      <c r="Y84" s="102">
        <v>24</v>
      </c>
      <c r="Z84" s="182">
        <v>43</v>
      </c>
    </row>
    <row r="85" spans="1:26" x14ac:dyDescent="0.4">
      <c r="B85" s="170">
        <v>0</v>
      </c>
      <c r="C85" s="171">
        <v>0</v>
      </c>
      <c r="D85" s="171">
        <v>0</v>
      </c>
      <c r="E85" s="171">
        <v>0</v>
      </c>
      <c r="F85" s="171">
        <v>0</v>
      </c>
      <c r="G85" s="171">
        <v>0</v>
      </c>
      <c r="H85" s="171">
        <v>0</v>
      </c>
      <c r="I85" s="171">
        <v>0</v>
      </c>
      <c r="J85" s="171">
        <v>0</v>
      </c>
      <c r="K85" s="171">
        <v>0</v>
      </c>
      <c r="L85" s="171">
        <v>0</v>
      </c>
      <c r="M85" s="171">
        <v>0</v>
      </c>
      <c r="N85" s="171">
        <v>0</v>
      </c>
      <c r="O85" s="171">
        <v>0</v>
      </c>
      <c r="P85" s="171">
        <v>0</v>
      </c>
      <c r="Q85" s="171">
        <v>0</v>
      </c>
      <c r="R85" s="171">
        <v>0</v>
      </c>
      <c r="S85" s="171">
        <v>0</v>
      </c>
      <c r="T85" s="171">
        <v>0</v>
      </c>
      <c r="U85" s="171">
        <v>0</v>
      </c>
      <c r="V85" s="171">
        <v>0</v>
      </c>
      <c r="W85" s="180">
        <v>0</v>
      </c>
      <c r="X85" s="180">
        <v>0</v>
      </c>
      <c r="Y85" s="180">
        <v>0</v>
      </c>
      <c r="Z85" s="181">
        <v>0</v>
      </c>
    </row>
    <row r="86" spans="1:26" x14ac:dyDescent="0.4">
      <c r="A86" s="104" t="s">
        <v>163</v>
      </c>
      <c r="B86" s="169">
        <v>622</v>
      </c>
      <c r="C86" s="87">
        <v>282</v>
      </c>
      <c r="D86" s="87">
        <v>340</v>
      </c>
      <c r="E86" s="87">
        <v>92</v>
      </c>
      <c r="F86" s="87">
        <v>131</v>
      </c>
      <c r="G86" s="87">
        <v>124</v>
      </c>
      <c r="H86" s="87">
        <v>275</v>
      </c>
      <c r="I86" s="87">
        <v>272</v>
      </c>
      <c r="J86" s="87">
        <v>212</v>
      </c>
      <c r="K86" s="87">
        <v>138</v>
      </c>
      <c r="L86" s="87">
        <v>40</v>
      </c>
      <c r="M86" s="87">
        <v>319</v>
      </c>
      <c r="N86" s="87">
        <v>54</v>
      </c>
      <c r="O86" s="87">
        <v>209</v>
      </c>
      <c r="P86" s="87">
        <v>194</v>
      </c>
      <c r="Q86" s="87">
        <v>241</v>
      </c>
      <c r="R86" s="87">
        <v>187</v>
      </c>
      <c r="S86" s="87">
        <v>211</v>
      </c>
      <c r="T86" s="87">
        <v>235</v>
      </c>
      <c r="U86" s="87">
        <v>100</v>
      </c>
      <c r="V86" s="87">
        <v>76</v>
      </c>
      <c r="W86" s="102">
        <v>447</v>
      </c>
      <c r="X86" s="102">
        <v>158</v>
      </c>
      <c r="Y86" s="102">
        <v>220</v>
      </c>
      <c r="Z86" s="182">
        <v>376</v>
      </c>
    </row>
    <row r="87" spans="1:26" x14ac:dyDescent="0.4">
      <c r="B87" s="170">
        <v>0.02</v>
      </c>
      <c r="C87" s="171">
        <v>0.02</v>
      </c>
      <c r="D87" s="171">
        <v>0.02</v>
      </c>
      <c r="E87" s="171">
        <v>0.02</v>
      </c>
      <c r="F87" s="171">
        <v>0.02</v>
      </c>
      <c r="G87" s="171">
        <v>0.02</v>
      </c>
      <c r="H87" s="171">
        <v>0.03</v>
      </c>
      <c r="I87" s="171">
        <v>0.08</v>
      </c>
      <c r="J87" s="171">
        <v>0.02</v>
      </c>
      <c r="K87" s="171">
        <v>0.01</v>
      </c>
      <c r="L87" s="171">
        <v>0.01</v>
      </c>
      <c r="M87" s="171">
        <v>0.02</v>
      </c>
      <c r="N87" s="171">
        <v>0.02</v>
      </c>
      <c r="O87" s="171">
        <v>0.03</v>
      </c>
      <c r="P87" s="171">
        <v>0.02</v>
      </c>
      <c r="Q87" s="171">
        <v>0.02</v>
      </c>
      <c r="R87" s="171">
        <v>0.03</v>
      </c>
      <c r="S87" s="171">
        <v>0.03</v>
      </c>
      <c r="T87" s="171">
        <v>0.02</v>
      </c>
      <c r="U87" s="171">
        <v>0.02</v>
      </c>
      <c r="V87" s="171">
        <v>0.01</v>
      </c>
      <c r="W87" s="180">
        <v>0.03</v>
      </c>
      <c r="X87" s="180">
        <v>0.02</v>
      </c>
      <c r="Y87" s="180">
        <v>0.02</v>
      </c>
      <c r="Z87" s="181">
        <v>0.03</v>
      </c>
    </row>
    <row r="88" spans="1:26" x14ac:dyDescent="0.4">
      <c r="A88" s="104" t="s">
        <v>164</v>
      </c>
      <c r="B88" s="169">
        <v>739</v>
      </c>
      <c r="C88" s="87">
        <v>333</v>
      </c>
      <c r="D88" s="87">
        <v>405</v>
      </c>
      <c r="E88" s="87">
        <v>61</v>
      </c>
      <c r="F88" s="87">
        <v>125</v>
      </c>
      <c r="G88" s="87">
        <v>154</v>
      </c>
      <c r="H88" s="87">
        <v>399</v>
      </c>
      <c r="I88" s="87">
        <v>377</v>
      </c>
      <c r="J88" s="87">
        <v>197</v>
      </c>
      <c r="K88" s="87">
        <v>164</v>
      </c>
      <c r="L88" s="87">
        <v>39</v>
      </c>
      <c r="M88" s="87">
        <v>390</v>
      </c>
      <c r="N88" s="87">
        <v>79</v>
      </c>
      <c r="O88" s="87">
        <v>231</v>
      </c>
      <c r="P88" s="87">
        <v>371</v>
      </c>
      <c r="Q88" s="87">
        <v>240</v>
      </c>
      <c r="R88" s="87">
        <v>127</v>
      </c>
      <c r="S88" s="87">
        <v>254</v>
      </c>
      <c r="T88" s="87">
        <v>335</v>
      </c>
      <c r="U88" s="87">
        <v>74</v>
      </c>
      <c r="V88" s="87">
        <v>76</v>
      </c>
      <c r="W88" s="102">
        <v>520</v>
      </c>
      <c r="X88" s="102">
        <v>188</v>
      </c>
      <c r="Y88" s="102">
        <v>293</v>
      </c>
      <c r="Z88" s="182">
        <v>393</v>
      </c>
    </row>
    <row r="89" spans="1:26" x14ac:dyDescent="0.4">
      <c r="B89" s="170">
        <v>0.03</v>
      </c>
      <c r="C89" s="171">
        <v>0.02</v>
      </c>
      <c r="D89" s="171">
        <v>0.03</v>
      </c>
      <c r="E89" s="171">
        <v>0.02</v>
      </c>
      <c r="F89" s="171">
        <v>0.02</v>
      </c>
      <c r="G89" s="171">
        <v>0.02</v>
      </c>
      <c r="H89" s="171">
        <v>0.05</v>
      </c>
      <c r="I89" s="171">
        <v>0.11</v>
      </c>
      <c r="J89" s="171">
        <v>0.02</v>
      </c>
      <c r="K89" s="171">
        <v>0.01</v>
      </c>
      <c r="L89" s="171">
        <v>0.01</v>
      </c>
      <c r="M89" s="171">
        <v>0.03</v>
      </c>
      <c r="N89" s="171">
        <v>0.03</v>
      </c>
      <c r="O89" s="171">
        <v>0.03</v>
      </c>
      <c r="P89" s="171">
        <v>0.04</v>
      </c>
      <c r="Q89" s="171">
        <v>0.02</v>
      </c>
      <c r="R89" s="171">
        <v>0.02</v>
      </c>
      <c r="S89" s="171">
        <v>0.04</v>
      </c>
      <c r="T89" s="171">
        <v>0.03</v>
      </c>
      <c r="U89" s="171">
        <v>0.02</v>
      </c>
      <c r="V89" s="171">
        <v>0.01</v>
      </c>
      <c r="W89" s="180">
        <v>0.03</v>
      </c>
      <c r="X89" s="180">
        <v>0.02</v>
      </c>
      <c r="Y89" s="180">
        <v>0.03</v>
      </c>
      <c r="Z89" s="181">
        <v>0.03</v>
      </c>
    </row>
    <row r="90" spans="1:26" x14ac:dyDescent="0.4">
      <c r="A90" s="104" t="s">
        <v>165</v>
      </c>
      <c r="B90" s="169">
        <v>207</v>
      </c>
      <c r="C90" s="87">
        <v>105</v>
      </c>
      <c r="D90" s="87">
        <v>102</v>
      </c>
      <c r="E90" s="87">
        <v>51</v>
      </c>
      <c r="F90" s="87">
        <v>63</v>
      </c>
      <c r="G90" s="87">
        <v>42</v>
      </c>
      <c r="H90" s="87">
        <v>52</v>
      </c>
      <c r="I90" s="87">
        <v>97</v>
      </c>
      <c r="J90" s="87">
        <v>35</v>
      </c>
      <c r="K90" s="87">
        <v>75</v>
      </c>
      <c r="L90" s="87">
        <v>17</v>
      </c>
      <c r="M90" s="87">
        <v>133</v>
      </c>
      <c r="N90" s="87">
        <v>8</v>
      </c>
      <c r="O90" s="87">
        <v>49</v>
      </c>
      <c r="P90" s="87">
        <v>188</v>
      </c>
      <c r="Q90" s="87">
        <v>9</v>
      </c>
      <c r="R90" s="87">
        <v>10</v>
      </c>
      <c r="S90" s="87">
        <v>72</v>
      </c>
      <c r="T90" s="87">
        <v>73</v>
      </c>
      <c r="U90" s="87">
        <v>18</v>
      </c>
      <c r="V90" s="87">
        <v>43</v>
      </c>
      <c r="W90" s="102">
        <v>170</v>
      </c>
      <c r="X90" s="102">
        <v>38</v>
      </c>
      <c r="Y90" s="102">
        <v>109</v>
      </c>
      <c r="Z90" s="182">
        <v>87</v>
      </c>
    </row>
    <row r="91" spans="1:26" x14ac:dyDescent="0.4">
      <c r="B91" s="170">
        <v>0.01</v>
      </c>
      <c r="C91" s="171">
        <v>0.01</v>
      </c>
      <c r="D91" s="171">
        <v>0.01</v>
      </c>
      <c r="E91" s="171">
        <v>0.01</v>
      </c>
      <c r="F91" s="171">
        <v>0.01</v>
      </c>
      <c r="G91" s="171">
        <v>0.01</v>
      </c>
      <c r="H91" s="171">
        <v>0.01</v>
      </c>
      <c r="I91" s="171">
        <v>0.03</v>
      </c>
      <c r="J91" s="171">
        <v>0</v>
      </c>
      <c r="K91" s="171">
        <v>0.01</v>
      </c>
      <c r="L91" s="171">
        <v>0.01</v>
      </c>
      <c r="M91" s="171">
        <v>0.01</v>
      </c>
      <c r="N91" s="171">
        <v>0</v>
      </c>
      <c r="O91" s="171">
        <v>0.01</v>
      </c>
      <c r="P91" s="171">
        <v>0.02</v>
      </c>
      <c r="Q91" s="171">
        <v>0</v>
      </c>
      <c r="R91" s="171">
        <v>0</v>
      </c>
      <c r="S91" s="171">
        <v>0.01</v>
      </c>
      <c r="T91" s="171">
        <v>0.01</v>
      </c>
      <c r="U91" s="171">
        <v>0</v>
      </c>
      <c r="V91" s="171">
        <v>0.01</v>
      </c>
      <c r="W91" s="180">
        <v>0.01</v>
      </c>
      <c r="X91" s="180">
        <v>0</v>
      </c>
      <c r="Y91" s="180">
        <v>0.01</v>
      </c>
      <c r="Z91" s="181">
        <v>0.01</v>
      </c>
    </row>
    <row r="92" spans="1:26" x14ac:dyDescent="0.4">
      <c r="A92" s="104" t="s">
        <v>166</v>
      </c>
      <c r="B92" s="169">
        <v>148</v>
      </c>
      <c r="C92" s="87">
        <v>62</v>
      </c>
      <c r="D92" s="87">
        <v>86</v>
      </c>
      <c r="E92" s="87">
        <v>20</v>
      </c>
      <c r="F92" s="87">
        <v>32</v>
      </c>
      <c r="G92" s="87">
        <v>34</v>
      </c>
      <c r="H92" s="87">
        <v>62</v>
      </c>
      <c r="I92" s="87">
        <v>54</v>
      </c>
      <c r="J92" s="87">
        <v>44</v>
      </c>
      <c r="K92" s="87">
        <v>49</v>
      </c>
      <c r="L92" s="87">
        <v>17</v>
      </c>
      <c r="M92" s="87">
        <v>82</v>
      </c>
      <c r="N92" s="87">
        <v>4</v>
      </c>
      <c r="O92" s="87">
        <v>44</v>
      </c>
      <c r="P92" s="87">
        <v>12</v>
      </c>
      <c r="Q92" s="87">
        <v>81</v>
      </c>
      <c r="R92" s="87">
        <v>55</v>
      </c>
      <c r="S92" s="87">
        <v>34</v>
      </c>
      <c r="T92" s="87">
        <v>65</v>
      </c>
      <c r="U92" s="87">
        <v>12</v>
      </c>
      <c r="V92" s="87">
        <v>36</v>
      </c>
      <c r="W92" s="102">
        <v>120</v>
      </c>
      <c r="X92" s="102">
        <v>22</v>
      </c>
      <c r="Y92" s="102">
        <v>85</v>
      </c>
      <c r="Z92" s="182">
        <v>55</v>
      </c>
    </row>
    <row r="93" spans="1:26" x14ac:dyDescent="0.4">
      <c r="B93" s="170">
        <v>0.01</v>
      </c>
      <c r="C93" s="171">
        <v>0</v>
      </c>
      <c r="D93" s="171">
        <v>0.01</v>
      </c>
      <c r="E93" s="171">
        <v>0.01</v>
      </c>
      <c r="F93" s="171">
        <v>0</v>
      </c>
      <c r="G93" s="171">
        <v>0</v>
      </c>
      <c r="H93" s="171">
        <v>0.01</v>
      </c>
      <c r="I93" s="171">
        <v>0.02</v>
      </c>
      <c r="J93" s="171">
        <v>0</v>
      </c>
      <c r="K93" s="171">
        <v>0</v>
      </c>
      <c r="L93" s="171">
        <v>0.01</v>
      </c>
      <c r="M93" s="171">
        <v>0.01</v>
      </c>
      <c r="N93" s="171">
        <v>0</v>
      </c>
      <c r="O93" s="171">
        <v>0.01</v>
      </c>
      <c r="P93" s="171">
        <v>0</v>
      </c>
      <c r="Q93" s="171">
        <v>0.01</v>
      </c>
      <c r="R93" s="171">
        <v>0.01</v>
      </c>
      <c r="S93" s="171">
        <v>0.01</v>
      </c>
      <c r="T93" s="171">
        <v>0.01</v>
      </c>
      <c r="U93" s="171">
        <v>0</v>
      </c>
      <c r="V93" s="171">
        <v>0.01</v>
      </c>
      <c r="W93" s="180">
        <v>0.01</v>
      </c>
      <c r="X93" s="180">
        <v>0</v>
      </c>
      <c r="Y93" s="180">
        <v>0.01</v>
      </c>
      <c r="Z93" s="181">
        <v>0</v>
      </c>
    </row>
    <row r="94" spans="1:26" x14ac:dyDescent="0.4">
      <c r="A94" s="104" t="s">
        <v>167</v>
      </c>
      <c r="B94" s="169">
        <v>40</v>
      </c>
      <c r="C94" s="87">
        <v>19</v>
      </c>
      <c r="D94" s="87">
        <v>21</v>
      </c>
      <c r="E94" s="87">
        <v>6</v>
      </c>
      <c r="F94" s="87">
        <v>1</v>
      </c>
      <c r="G94" s="87">
        <v>9</v>
      </c>
      <c r="H94" s="87">
        <v>24</v>
      </c>
      <c r="I94" s="87">
        <v>0</v>
      </c>
      <c r="J94" s="87">
        <v>22</v>
      </c>
      <c r="K94" s="87">
        <v>18</v>
      </c>
      <c r="L94" s="87">
        <v>6</v>
      </c>
      <c r="M94" s="87">
        <v>19</v>
      </c>
      <c r="N94" s="87">
        <v>0</v>
      </c>
      <c r="O94" s="87">
        <v>14</v>
      </c>
      <c r="P94" s="87">
        <v>32</v>
      </c>
      <c r="Q94" s="87">
        <v>8</v>
      </c>
      <c r="R94" s="87">
        <v>0</v>
      </c>
      <c r="S94" s="87">
        <v>14</v>
      </c>
      <c r="T94" s="87">
        <v>26</v>
      </c>
      <c r="U94" s="87">
        <v>0</v>
      </c>
      <c r="V94" s="87">
        <v>0</v>
      </c>
      <c r="W94" s="102">
        <v>35</v>
      </c>
      <c r="X94" s="102">
        <v>5</v>
      </c>
      <c r="Y94" s="102">
        <v>21</v>
      </c>
      <c r="Z94" s="182">
        <v>18</v>
      </c>
    </row>
    <row r="95" spans="1:26" x14ac:dyDescent="0.4">
      <c r="B95" s="170">
        <v>0</v>
      </c>
      <c r="C95" s="171">
        <v>0</v>
      </c>
      <c r="D95" s="171">
        <v>0</v>
      </c>
      <c r="E95" s="171">
        <v>0</v>
      </c>
      <c r="F95" s="171">
        <v>0</v>
      </c>
      <c r="G95" s="171">
        <v>0</v>
      </c>
      <c r="H95" s="171">
        <v>0</v>
      </c>
      <c r="I95" s="87">
        <v>0</v>
      </c>
      <c r="J95" s="171">
        <v>0</v>
      </c>
      <c r="K95" s="171">
        <v>0</v>
      </c>
      <c r="L95" s="171">
        <v>0</v>
      </c>
      <c r="M95" s="171">
        <v>0</v>
      </c>
      <c r="N95" s="87">
        <v>0</v>
      </c>
      <c r="O95" s="171">
        <v>0</v>
      </c>
      <c r="P95" s="171">
        <v>0</v>
      </c>
      <c r="Q95" s="171">
        <v>0</v>
      </c>
      <c r="R95" s="87">
        <v>0</v>
      </c>
      <c r="S95" s="171">
        <v>0</v>
      </c>
      <c r="T95" s="171">
        <v>0</v>
      </c>
      <c r="U95" s="87">
        <v>0</v>
      </c>
      <c r="V95" s="87">
        <v>0</v>
      </c>
      <c r="W95" s="180">
        <v>0</v>
      </c>
      <c r="X95" s="180">
        <v>0</v>
      </c>
      <c r="Y95" s="180">
        <v>0</v>
      </c>
      <c r="Z95" s="181">
        <v>0</v>
      </c>
    </row>
    <row r="96" spans="1:26" x14ac:dyDescent="0.4">
      <c r="A96" s="104" t="s">
        <v>168</v>
      </c>
      <c r="B96" s="169">
        <v>102</v>
      </c>
      <c r="C96" s="87">
        <v>63</v>
      </c>
      <c r="D96" s="87">
        <v>39</v>
      </c>
      <c r="E96" s="87">
        <v>22</v>
      </c>
      <c r="F96" s="87">
        <v>34</v>
      </c>
      <c r="G96" s="87">
        <v>16</v>
      </c>
      <c r="H96" s="87">
        <v>30</v>
      </c>
      <c r="I96" s="87">
        <v>8</v>
      </c>
      <c r="J96" s="87">
        <v>43</v>
      </c>
      <c r="K96" s="87">
        <v>51</v>
      </c>
      <c r="L96" s="87">
        <v>8</v>
      </c>
      <c r="M96" s="87">
        <v>75</v>
      </c>
      <c r="N96" s="87">
        <v>3</v>
      </c>
      <c r="O96" s="87">
        <v>15</v>
      </c>
      <c r="P96" s="87">
        <v>83</v>
      </c>
      <c r="Q96" s="87">
        <v>0</v>
      </c>
      <c r="R96" s="87">
        <v>19</v>
      </c>
      <c r="S96" s="87">
        <v>40</v>
      </c>
      <c r="T96" s="87">
        <v>29</v>
      </c>
      <c r="U96" s="87">
        <v>17</v>
      </c>
      <c r="V96" s="87">
        <v>16</v>
      </c>
      <c r="W96" s="102">
        <v>87</v>
      </c>
      <c r="X96" s="102">
        <v>15</v>
      </c>
      <c r="Y96" s="102">
        <v>38</v>
      </c>
      <c r="Z96" s="182">
        <v>60</v>
      </c>
    </row>
    <row r="97" spans="1:26" x14ac:dyDescent="0.4">
      <c r="B97" s="170">
        <v>0</v>
      </c>
      <c r="C97" s="171">
        <v>0</v>
      </c>
      <c r="D97" s="171">
        <v>0</v>
      </c>
      <c r="E97" s="171">
        <v>0.01</v>
      </c>
      <c r="F97" s="171">
        <v>0</v>
      </c>
      <c r="G97" s="171">
        <v>0</v>
      </c>
      <c r="H97" s="171">
        <v>0</v>
      </c>
      <c r="I97" s="171">
        <v>0</v>
      </c>
      <c r="J97" s="171">
        <v>0</v>
      </c>
      <c r="K97" s="171">
        <v>0</v>
      </c>
      <c r="L97" s="171">
        <v>0</v>
      </c>
      <c r="M97" s="171">
        <v>0.01</v>
      </c>
      <c r="N97" s="171">
        <v>0</v>
      </c>
      <c r="O97" s="171">
        <v>0</v>
      </c>
      <c r="P97" s="171">
        <v>0.01</v>
      </c>
      <c r="Q97" s="87">
        <v>0</v>
      </c>
      <c r="R97" s="171">
        <v>0</v>
      </c>
      <c r="S97" s="171">
        <v>0.01</v>
      </c>
      <c r="T97" s="171">
        <v>0</v>
      </c>
      <c r="U97" s="171">
        <v>0</v>
      </c>
      <c r="V97" s="171">
        <v>0</v>
      </c>
      <c r="W97" s="180">
        <v>0</v>
      </c>
      <c r="X97" s="180">
        <v>0</v>
      </c>
      <c r="Y97" s="180">
        <v>0</v>
      </c>
      <c r="Z97" s="181">
        <v>0</v>
      </c>
    </row>
    <row r="98" spans="1:26" x14ac:dyDescent="0.4">
      <c r="A98" s="104" t="s">
        <v>169</v>
      </c>
      <c r="B98" s="169">
        <v>352</v>
      </c>
      <c r="C98" s="87">
        <v>120</v>
      </c>
      <c r="D98" s="87">
        <v>232</v>
      </c>
      <c r="E98" s="87">
        <v>32</v>
      </c>
      <c r="F98" s="87">
        <v>65</v>
      </c>
      <c r="G98" s="87">
        <v>58</v>
      </c>
      <c r="H98" s="87">
        <v>198</v>
      </c>
      <c r="I98" s="87">
        <v>133</v>
      </c>
      <c r="J98" s="87">
        <v>131</v>
      </c>
      <c r="K98" s="87">
        <v>88</v>
      </c>
      <c r="L98" s="87">
        <v>22</v>
      </c>
      <c r="M98" s="87">
        <v>157</v>
      </c>
      <c r="N98" s="87">
        <v>8</v>
      </c>
      <c r="O98" s="87">
        <v>160</v>
      </c>
      <c r="P98" s="87">
        <v>150</v>
      </c>
      <c r="Q98" s="87">
        <v>161</v>
      </c>
      <c r="R98" s="87">
        <v>40</v>
      </c>
      <c r="S98" s="87">
        <v>122</v>
      </c>
      <c r="T98" s="87">
        <v>130</v>
      </c>
      <c r="U98" s="87">
        <v>40</v>
      </c>
      <c r="V98" s="87">
        <v>60</v>
      </c>
      <c r="W98" s="102">
        <v>245</v>
      </c>
      <c r="X98" s="102">
        <v>92</v>
      </c>
      <c r="Y98" s="102">
        <v>159</v>
      </c>
      <c r="Z98" s="182">
        <v>170</v>
      </c>
    </row>
    <row r="99" spans="1:26" x14ac:dyDescent="0.4">
      <c r="B99" s="170">
        <v>0.01</v>
      </c>
      <c r="C99" s="171">
        <v>0.01</v>
      </c>
      <c r="D99" s="171">
        <v>0.02</v>
      </c>
      <c r="E99" s="171">
        <v>0.01</v>
      </c>
      <c r="F99" s="171">
        <v>0.01</v>
      </c>
      <c r="G99" s="171">
        <v>0.01</v>
      </c>
      <c r="H99" s="171">
        <v>0.02</v>
      </c>
      <c r="I99" s="171">
        <v>0.04</v>
      </c>
      <c r="J99" s="171">
        <v>0.01</v>
      </c>
      <c r="K99" s="171">
        <v>0.01</v>
      </c>
      <c r="L99" s="171">
        <v>0.01</v>
      </c>
      <c r="M99" s="171">
        <v>0.01</v>
      </c>
      <c r="N99" s="171">
        <v>0</v>
      </c>
      <c r="O99" s="171">
        <v>0.02</v>
      </c>
      <c r="P99" s="171">
        <v>0.01</v>
      </c>
      <c r="Q99" s="171">
        <v>0.02</v>
      </c>
      <c r="R99" s="171">
        <v>0.01</v>
      </c>
      <c r="S99" s="171">
        <v>0.02</v>
      </c>
      <c r="T99" s="171">
        <v>0.01</v>
      </c>
      <c r="U99" s="171">
        <v>0.01</v>
      </c>
      <c r="V99" s="171">
        <v>0.01</v>
      </c>
      <c r="W99" s="180">
        <v>0.01</v>
      </c>
      <c r="X99" s="180">
        <v>0.01</v>
      </c>
      <c r="Y99" s="180">
        <v>0.01</v>
      </c>
      <c r="Z99" s="181">
        <v>0.01</v>
      </c>
    </row>
    <row r="100" spans="1:26" x14ac:dyDescent="0.4">
      <c r="A100" s="104" t="s">
        <v>170</v>
      </c>
      <c r="B100" s="169">
        <v>91</v>
      </c>
      <c r="C100" s="87">
        <v>40</v>
      </c>
      <c r="D100" s="87">
        <v>51</v>
      </c>
      <c r="E100" s="87">
        <v>11</v>
      </c>
      <c r="F100" s="87">
        <v>19</v>
      </c>
      <c r="G100" s="87">
        <v>9</v>
      </c>
      <c r="H100" s="87">
        <v>53</v>
      </c>
      <c r="I100" s="87">
        <v>44</v>
      </c>
      <c r="J100" s="87">
        <v>29</v>
      </c>
      <c r="K100" s="87">
        <v>18</v>
      </c>
      <c r="L100" s="87">
        <v>0</v>
      </c>
      <c r="M100" s="87">
        <v>36</v>
      </c>
      <c r="N100" s="87">
        <v>3</v>
      </c>
      <c r="O100" s="87">
        <v>50</v>
      </c>
      <c r="P100" s="87">
        <v>7</v>
      </c>
      <c r="Q100" s="87">
        <v>47</v>
      </c>
      <c r="R100" s="87">
        <v>38</v>
      </c>
      <c r="S100" s="87">
        <v>25</v>
      </c>
      <c r="T100" s="87">
        <v>49</v>
      </c>
      <c r="U100" s="87">
        <v>12</v>
      </c>
      <c r="V100" s="87">
        <v>5</v>
      </c>
      <c r="W100" s="102">
        <v>70</v>
      </c>
      <c r="X100" s="102">
        <v>21</v>
      </c>
      <c r="Y100" s="102">
        <v>53</v>
      </c>
      <c r="Z100" s="182">
        <v>37</v>
      </c>
    </row>
    <row r="101" spans="1:26" x14ac:dyDescent="0.4">
      <c r="B101" s="170">
        <v>0</v>
      </c>
      <c r="C101" s="171">
        <v>0</v>
      </c>
      <c r="D101" s="171">
        <v>0</v>
      </c>
      <c r="E101" s="171">
        <v>0</v>
      </c>
      <c r="F101" s="171">
        <v>0</v>
      </c>
      <c r="G101" s="171">
        <v>0</v>
      </c>
      <c r="H101" s="171">
        <v>0.01</v>
      </c>
      <c r="I101" s="171">
        <v>0.01</v>
      </c>
      <c r="J101" s="171">
        <v>0</v>
      </c>
      <c r="K101" s="171">
        <v>0</v>
      </c>
      <c r="L101" s="87">
        <v>0</v>
      </c>
      <c r="M101" s="171">
        <v>0</v>
      </c>
      <c r="N101" s="171">
        <v>0</v>
      </c>
      <c r="O101" s="171">
        <v>0.01</v>
      </c>
      <c r="P101" s="171">
        <v>0</v>
      </c>
      <c r="Q101" s="171">
        <v>0</v>
      </c>
      <c r="R101" s="171">
        <v>0.01</v>
      </c>
      <c r="S101" s="171">
        <v>0</v>
      </c>
      <c r="T101" s="171">
        <v>0</v>
      </c>
      <c r="U101" s="171">
        <v>0</v>
      </c>
      <c r="V101" s="171">
        <v>0</v>
      </c>
      <c r="W101" s="180">
        <v>0</v>
      </c>
      <c r="X101" s="180">
        <v>0</v>
      </c>
      <c r="Y101" s="180">
        <v>0</v>
      </c>
      <c r="Z101" s="181">
        <v>0</v>
      </c>
    </row>
    <row r="102" spans="1:26" x14ac:dyDescent="0.4">
      <c r="A102" s="104" t="s">
        <v>171</v>
      </c>
      <c r="B102" s="169">
        <v>449</v>
      </c>
      <c r="C102" s="87">
        <v>229</v>
      </c>
      <c r="D102" s="87">
        <v>221</v>
      </c>
      <c r="E102" s="87">
        <v>43</v>
      </c>
      <c r="F102" s="87">
        <v>104</v>
      </c>
      <c r="G102" s="87">
        <v>115</v>
      </c>
      <c r="H102" s="87">
        <v>188</v>
      </c>
      <c r="I102" s="87">
        <v>209</v>
      </c>
      <c r="J102" s="87">
        <v>136</v>
      </c>
      <c r="K102" s="87">
        <v>104</v>
      </c>
      <c r="L102" s="87">
        <v>50</v>
      </c>
      <c r="M102" s="87">
        <v>192</v>
      </c>
      <c r="N102" s="87">
        <v>50</v>
      </c>
      <c r="O102" s="87">
        <v>157</v>
      </c>
      <c r="P102" s="87">
        <v>139</v>
      </c>
      <c r="Q102" s="87">
        <v>181</v>
      </c>
      <c r="R102" s="87">
        <v>129</v>
      </c>
      <c r="S102" s="87">
        <v>143</v>
      </c>
      <c r="T102" s="87">
        <v>191</v>
      </c>
      <c r="U102" s="87">
        <v>35</v>
      </c>
      <c r="V102" s="87">
        <v>81</v>
      </c>
      <c r="W102" s="102">
        <v>359</v>
      </c>
      <c r="X102" s="102">
        <v>86</v>
      </c>
      <c r="Y102" s="102">
        <v>258</v>
      </c>
      <c r="Z102" s="182">
        <v>171</v>
      </c>
    </row>
    <row r="103" spans="1:26" x14ac:dyDescent="0.4">
      <c r="B103" s="170">
        <v>0.02</v>
      </c>
      <c r="C103" s="171">
        <v>0.02</v>
      </c>
      <c r="D103" s="171">
        <v>0.02</v>
      </c>
      <c r="E103" s="171">
        <v>0.01</v>
      </c>
      <c r="F103" s="171">
        <v>0.01</v>
      </c>
      <c r="G103" s="171">
        <v>0.01</v>
      </c>
      <c r="H103" s="171">
        <v>0.02</v>
      </c>
      <c r="I103" s="171">
        <v>0.06</v>
      </c>
      <c r="J103" s="171">
        <v>0.02</v>
      </c>
      <c r="K103" s="171">
        <v>0.01</v>
      </c>
      <c r="L103" s="171">
        <v>0.02</v>
      </c>
      <c r="M103" s="171">
        <v>0.01</v>
      </c>
      <c r="N103" s="171">
        <v>0.02</v>
      </c>
      <c r="O103" s="171">
        <v>0.02</v>
      </c>
      <c r="P103" s="171">
        <v>0.01</v>
      </c>
      <c r="Q103" s="171">
        <v>0.02</v>
      </c>
      <c r="R103" s="171">
        <v>0.02</v>
      </c>
      <c r="S103" s="171">
        <v>0.02</v>
      </c>
      <c r="T103" s="171">
        <v>0.02</v>
      </c>
      <c r="U103" s="171">
        <v>0.01</v>
      </c>
      <c r="V103" s="171">
        <v>0.01</v>
      </c>
      <c r="W103" s="180">
        <v>0.02</v>
      </c>
      <c r="X103" s="180">
        <v>0.01</v>
      </c>
      <c r="Y103" s="180">
        <v>0.02</v>
      </c>
      <c r="Z103" s="181">
        <v>0.01</v>
      </c>
    </row>
    <row r="104" spans="1:26" x14ac:dyDescent="0.4">
      <c r="A104" s="104" t="s">
        <v>172</v>
      </c>
      <c r="B104" s="169">
        <v>1005</v>
      </c>
      <c r="C104" s="87">
        <v>458</v>
      </c>
      <c r="D104" s="87">
        <v>547</v>
      </c>
      <c r="E104" s="87">
        <v>122</v>
      </c>
      <c r="F104" s="87">
        <v>191</v>
      </c>
      <c r="G104" s="87">
        <v>283</v>
      </c>
      <c r="H104" s="87">
        <v>410</v>
      </c>
      <c r="I104" s="87">
        <v>310</v>
      </c>
      <c r="J104" s="87">
        <v>399</v>
      </c>
      <c r="K104" s="87">
        <v>296</v>
      </c>
      <c r="L104" s="87">
        <v>81</v>
      </c>
      <c r="M104" s="87">
        <v>514</v>
      </c>
      <c r="N104" s="87">
        <v>101</v>
      </c>
      <c r="O104" s="87">
        <v>300</v>
      </c>
      <c r="P104" s="87">
        <v>515</v>
      </c>
      <c r="Q104" s="87">
        <v>356</v>
      </c>
      <c r="R104" s="87">
        <v>132</v>
      </c>
      <c r="S104" s="87">
        <v>330</v>
      </c>
      <c r="T104" s="87">
        <v>376</v>
      </c>
      <c r="U104" s="87">
        <v>92</v>
      </c>
      <c r="V104" s="87">
        <v>207</v>
      </c>
      <c r="W104" s="102">
        <v>746</v>
      </c>
      <c r="X104" s="102">
        <v>238</v>
      </c>
      <c r="Y104" s="102">
        <v>451</v>
      </c>
      <c r="Z104" s="182">
        <v>515</v>
      </c>
    </row>
    <row r="105" spans="1:26" x14ac:dyDescent="0.4">
      <c r="B105" s="170">
        <v>0.04</v>
      </c>
      <c r="C105" s="171">
        <v>0.03</v>
      </c>
      <c r="D105" s="171">
        <v>0.04</v>
      </c>
      <c r="E105" s="171">
        <v>0.03</v>
      </c>
      <c r="F105" s="171">
        <v>0.02</v>
      </c>
      <c r="G105" s="171">
        <v>0.04</v>
      </c>
      <c r="H105" s="171">
        <v>0.05</v>
      </c>
      <c r="I105" s="171">
        <v>0.09</v>
      </c>
      <c r="J105" s="171">
        <v>0.04</v>
      </c>
      <c r="K105" s="171">
        <v>0.02</v>
      </c>
      <c r="L105" s="171">
        <v>0.03</v>
      </c>
      <c r="M105" s="171">
        <v>0.04</v>
      </c>
      <c r="N105" s="171">
        <v>0.04</v>
      </c>
      <c r="O105" s="171">
        <v>0.04</v>
      </c>
      <c r="P105" s="171">
        <v>0.05</v>
      </c>
      <c r="Q105" s="171">
        <v>0.03</v>
      </c>
      <c r="R105" s="171">
        <v>0.02</v>
      </c>
      <c r="S105" s="171">
        <v>0.05</v>
      </c>
      <c r="T105" s="171">
        <v>0.04</v>
      </c>
      <c r="U105" s="171">
        <v>0.02</v>
      </c>
      <c r="V105" s="171">
        <v>0.03</v>
      </c>
      <c r="W105" s="180">
        <v>0.04</v>
      </c>
      <c r="X105" s="180">
        <v>0.03</v>
      </c>
      <c r="Y105" s="180">
        <v>0.04</v>
      </c>
      <c r="Z105" s="181">
        <v>0.04</v>
      </c>
    </row>
    <row r="106" spans="1:26" x14ac:dyDescent="0.4">
      <c r="A106" s="104" t="s">
        <v>173</v>
      </c>
      <c r="B106" s="169">
        <v>231</v>
      </c>
      <c r="C106" s="87">
        <v>94</v>
      </c>
      <c r="D106" s="87">
        <v>137</v>
      </c>
      <c r="E106" s="87">
        <v>27</v>
      </c>
      <c r="F106" s="87">
        <v>36</v>
      </c>
      <c r="G106" s="87">
        <v>71</v>
      </c>
      <c r="H106" s="87">
        <v>97</v>
      </c>
      <c r="I106" s="87">
        <v>91</v>
      </c>
      <c r="J106" s="87">
        <v>98</v>
      </c>
      <c r="K106" s="87">
        <v>42</v>
      </c>
      <c r="L106" s="87">
        <v>31</v>
      </c>
      <c r="M106" s="87">
        <v>103</v>
      </c>
      <c r="N106" s="87">
        <v>31</v>
      </c>
      <c r="O106" s="87">
        <v>66</v>
      </c>
      <c r="P106" s="87">
        <v>40</v>
      </c>
      <c r="Q106" s="87">
        <v>74</v>
      </c>
      <c r="R106" s="87">
        <v>117</v>
      </c>
      <c r="S106" s="87">
        <v>85</v>
      </c>
      <c r="T106" s="87">
        <v>94</v>
      </c>
      <c r="U106" s="87">
        <v>23</v>
      </c>
      <c r="V106" s="87">
        <v>29</v>
      </c>
      <c r="W106" s="102">
        <v>184</v>
      </c>
      <c r="X106" s="102">
        <v>34</v>
      </c>
      <c r="Y106" s="102">
        <v>84</v>
      </c>
      <c r="Z106" s="182">
        <v>114</v>
      </c>
    </row>
    <row r="107" spans="1:26" x14ac:dyDescent="0.4">
      <c r="B107" s="170">
        <v>0.01</v>
      </c>
      <c r="C107" s="171">
        <v>0.01</v>
      </c>
      <c r="D107" s="171">
        <v>0.01</v>
      </c>
      <c r="E107" s="171">
        <v>0.01</v>
      </c>
      <c r="F107" s="171">
        <v>0</v>
      </c>
      <c r="G107" s="171">
        <v>0.01</v>
      </c>
      <c r="H107" s="171">
        <v>0.01</v>
      </c>
      <c r="I107" s="171">
        <v>0.03</v>
      </c>
      <c r="J107" s="171">
        <v>0.01</v>
      </c>
      <c r="K107" s="171">
        <v>0</v>
      </c>
      <c r="L107" s="171">
        <v>0.01</v>
      </c>
      <c r="M107" s="171">
        <v>0.01</v>
      </c>
      <c r="N107" s="171">
        <v>0.01</v>
      </c>
      <c r="O107" s="171">
        <v>0.01</v>
      </c>
      <c r="P107" s="171">
        <v>0</v>
      </c>
      <c r="Q107" s="171">
        <v>0.01</v>
      </c>
      <c r="R107" s="171">
        <v>0.02</v>
      </c>
      <c r="S107" s="171">
        <v>0.01</v>
      </c>
      <c r="T107" s="171">
        <v>0.01</v>
      </c>
      <c r="U107" s="171">
        <v>0.01</v>
      </c>
      <c r="V107" s="171">
        <v>0</v>
      </c>
      <c r="W107" s="180">
        <v>0.01</v>
      </c>
      <c r="X107" s="180">
        <v>0</v>
      </c>
      <c r="Y107" s="180">
        <v>0.01</v>
      </c>
      <c r="Z107" s="181">
        <v>0.01</v>
      </c>
    </row>
    <row r="108" spans="1:26" x14ac:dyDescent="0.4">
      <c r="A108" s="104" t="s">
        <v>174</v>
      </c>
      <c r="B108" s="169">
        <v>56</v>
      </c>
      <c r="C108" s="87">
        <v>30</v>
      </c>
      <c r="D108" s="87">
        <v>26</v>
      </c>
      <c r="E108" s="87">
        <v>8</v>
      </c>
      <c r="F108" s="87">
        <v>6</v>
      </c>
      <c r="G108" s="87">
        <v>10</v>
      </c>
      <c r="H108" s="87">
        <v>33</v>
      </c>
      <c r="I108" s="87">
        <v>26</v>
      </c>
      <c r="J108" s="87">
        <v>7</v>
      </c>
      <c r="K108" s="87">
        <v>23</v>
      </c>
      <c r="L108" s="87">
        <v>10</v>
      </c>
      <c r="M108" s="87">
        <v>24</v>
      </c>
      <c r="N108" s="87">
        <v>3</v>
      </c>
      <c r="O108" s="87">
        <v>19</v>
      </c>
      <c r="P108" s="87">
        <v>18</v>
      </c>
      <c r="Q108" s="87">
        <v>15</v>
      </c>
      <c r="R108" s="87">
        <v>22</v>
      </c>
      <c r="S108" s="87">
        <v>12</v>
      </c>
      <c r="T108" s="87">
        <v>21</v>
      </c>
      <c r="U108" s="87">
        <v>10</v>
      </c>
      <c r="V108" s="87">
        <v>14</v>
      </c>
      <c r="W108" s="102">
        <v>36</v>
      </c>
      <c r="X108" s="102">
        <v>19</v>
      </c>
      <c r="Y108" s="102">
        <v>18</v>
      </c>
      <c r="Z108" s="182">
        <v>37</v>
      </c>
    </row>
    <row r="109" spans="1:26" x14ac:dyDescent="0.4">
      <c r="B109" s="170">
        <v>0</v>
      </c>
      <c r="C109" s="171">
        <v>0</v>
      </c>
      <c r="D109" s="171">
        <v>0</v>
      </c>
      <c r="E109" s="171">
        <v>0</v>
      </c>
      <c r="F109" s="171">
        <v>0</v>
      </c>
      <c r="G109" s="171">
        <v>0</v>
      </c>
      <c r="H109" s="171">
        <v>0</v>
      </c>
      <c r="I109" s="171">
        <v>0.01</v>
      </c>
      <c r="J109" s="171">
        <v>0</v>
      </c>
      <c r="K109" s="171">
        <v>0</v>
      </c>
      <c r="L109" s="171">
        <v>0</v>
      </c>
      <c r="M109" s="171">
        <v>0</v>
      </c>
      <c r="N109" s="171">
        <v>0</v>
      </c>
      <c r="O109" s="171">
        <v>0</v>
      </c>
      <c r="P109" s="171">
        <v>0</v>
      </c>
      <c r="Q109" s="171">
        <v>0</v>
      </c>
      <c r="R109" s="171">
        <v>0</v>
      </c>
      <c r="S109" s="171">
        <v>0</v>
      </c>
      <c r="T109" s="171">
        <v>0</v>
      </c>
      <c r="U109" s="171">
        <v>0</v>
      </c>
      <c r="V109" s="171">
        <v>0</v>
      </c>
      <c r="W109" s="180">
        <v>0</v>
      </c>
      <c r="X109" s="180">
        <v>0</v>
      </c>
      <c r="Y109" s="180">
        <v>0</v>
      </c>
      <c r="Z109" s="181">
        <v>0</v>
      </c>
    </row>
    <row r="110" spans="1:26" x14ac:dyDescent="0.4">
      <c r="A110" s="104" t="s">
        <v>175</v>
      </c>
      <c r="B110" s="169">
        <v>228</v>
      </c>
      <c r="C110" s="87">
        <v>113</v>
      </c>
      <c r="D110" s="87">
        <v>114</v>
      </c>
      <c r="E110" s="87">
        <v>53</v>
      </c>
      <c r="F110" s="87">
        <v>49</v>
      </c>
      <c r="G110" s="87">
        <v>47</v>
      </c>
      <c r="H110" s="87">
        <v>79</v>
      </c>
      <c r="I110" s="87">
        <v>96</v>
      </c>
      <c r="J110" s="87">
        <v>76</v>
      </c>
      <c r="K110" s="87">
        <v>56</v>
      </c>
      <c r="L110" s="87">
        <v>26</v>
      </c>
      <c r="M110" s="87">
        <v>133</v>
      </c>
      <c r="N110" s="87">
        <v>12</v>
      </c>
      <c r="O110" s="87">
        <v>57</v>
      </c>
      <c r="P110" s="87">
        <v>119</v>
      </c>
      <c r="Q110" s="87">
        <v>64</v>
      </c>
      <c r="R110" s="87">
        <v>44</v>
      </c>
      <c r="S110" s="87">
        <v>55</v>
      </c>
      <c r="T110" s="87">
        <v>118</v>
      </c>
      <c r="U110" s="87">
        <v>18</v>
      </c>
      <c r="V110" s="87">
        <v>37</v>
      </c>
      <c r="W110" s="102">
        <v>170</v>
      </c>
      <c r="X110" s="102">
        <v>54</v>
      </c>
      <c r="Y110" s="102">
        <v>129</v>
      </c>
      <c r="Z110" s="182">
        <v>96</v>
      </c>
    </row>
    <row r="111" spans="1:26" x14ac:dyDescent="0.4">
      <c r="B111" s="170">
        <v>0.01</v>
      </c>
      <c r="C111" s="171">
        <v>0.01</v>
      </c>
      <c r="D111" s="171">
        <v>0.01</v>
      </c>
      <c r="E111" s="171">
        <v>0.01</v>
      </c>
      <c r="F111" s="171">
        <v>0.01</v>
      </c>
      <c r="G111" s="171">
        <v>0.01</v>
      </c>
      <c r="H111" s="171">
        <v>0.01</v>
      </c>
      <c r="I111" s="171">
        <v>0.03</v>
      </c>
      <c r="J111" s="171">
        <v>0.01</v>
      </c>
      <c r="K111" s="171">
        <v>0</v>
      </c>
      <c r="L111" s="171">
        <v>0.01</v>
      </c>
      <c r="M111" s="171">
        <v>0.01</v>
      </c>
      <c r="N111" s="171">
        <v>0</v>
      </c>
      <c r="O111" s="171">
        <v>0.01</v>
      </c>
      <c r="P111" s="171">
        <v>0.01</v>
      </c>
      <c r="Q111" s="171">
        <v>0.01</v>
      </c>
      <c r="R111" s="171">
        <v>0.01</v>
      </c>
      <c r="S111" s="171">
        <v>0.01</v>
      </c>
      <c r="T111" s="171">
        <v>0.01</v>
      </c>
      <c r="U111" s="171">
        <v>0</v>
      </c>
      <c r="V111" s="171">
        <v>0.01</v>
      </c>
      <c r="W111" s="180">
        <v>0.01</v>
      </c>
      <c r="X111" s="180">
        <v>0.01</v>
      </c>
      <c r="Y111" s="180">
        <v>0.01</v>
      </c>
      <c r="Z111" s="181">
        <v>0.01</v>
      </c>
    </row>
    <row r="112" spans="1:26" x14ac:dyDescent="0.4">
      <c r="A112" s="104" t="s">
        <v>176</v>
      </c>
      <c r="B112" s="169">
        <v>123</v>
      </c>
      <c r="C112" s="87">
        <v>48</v>
      </c>
      <c r="D112" s="87">
        <v>75</v>
      </c>
      <c r="E112" s="87">
        <v>30</v>
      </c>
      <c r="F112" s="87">
        <v>26</v>
      </c>
      <c r="G112" s="87">
        <v>23</v>
      </c>
      <c r="H112" s="87">
        <v>44</v>
      </c>
      <c r="I112" s="87">
        <v>35</v>
      </c>
      <c r="J112" s="87">
        <v>55</v>
      </c>
      <c r="K112" s="87">
        <v>32</v>
      </c>
      <c r="L112" s="87">
        <v>9</v>
      </c>
      <c r="M112" s="87">
        <v>75</v>
      </c>
      <c r="N112" s="87">
        <v>3</v>
      </c>
      <c r="O112" s="87">
        <v>36</v>
      </c>
      <c r="P112" s="87">
        <v>42</v>
      </c>
      <c r="Q112" s="87">
        <v>55</v>
      </c>
      <c r="R112" s="87">
        <v>27</v>
      </c>
      <c r="S112" s="87">
        <v>57</v>
      </c>
      <c r="T112" s="87">
        <v>61</v>
      </c>
      <c r="U112" s="87">
        <v>1</v>
      </c>
      <c r="V112" s="87">
        <v>4</v>
      </c>
      <c r="W112" s="102">
        <v>99</v>
      </c>
      <c r="X112" s="102">
        <v>21</v>
      </c>
      <c r="Y112" s="102">
        <v>73</v>
      </c>
      <c r="Z112" s="182">
        <v>44</v>
      </c>
    </row>
    <row r="113" spans="1:26" x14ac:dyDescent="0.4">
      <c r="B113" s="170">
        <v>0</v>
      </c>
      <c r="C113" s="171">
        <v>0</v>
      </c>
      <c r="D113" s="171">
        <v>0.01</v>
      </c>
      <c r="E113" s="171">
        <v>0.01</v>
      </c>
      <c r="F113" s="171">
        <v>0</v>
      </c>
      <c r="G113" s="171">
        <v>0</v>
      </c>
      <c r="H113" s="171">
        <v>0.01</v>
      </c>
      <c r="I113" s="171">
        <v>0.01</v>
      </c>
      <c r="J113" s="171">
        <v>0.01</v>
      </c>
      <c r="K113" s="171">
        <v>0</v>
      </c>
      <c r="L113" s="171">
        <v>0</v>
      </c>
      <c r="M113" s="171">
        <v>0.01</v>
      </c>
      <c r="N113" s="171">
        <v>0</v>
      </c>
      <c r="O113" s="171">
        <v>0.01</v>
      </c>
      <c r="P113" s="171">
        <v>0</v>
      </c>
      <c r="Q113" s="171">
        <v>0.01</v>
      </c>
      <c r="R113" s="171">
        <v>0</v>
      </c>
      <c r="S113" s="171">
        <v>0.01</v>
      </c>
      <c r="T113" s="171">
        <v>0.01</v>
      </c>
      <c r="U113" s="171">
        <v>0</v>
      </c>
      <c r="V113" s="171">
        <v>0</v>
      </c>
      <c r="W113" s="180">
        <v>0.01</v>
      </c>
      <c r="X113" s="180">
        <v>0</v>
      </c>
      <c r="Y113" s="180">
        <v>0.01</v>
      </c>
      <c r="Z113" s="181">
        <v>0</v>
      </c>
    </row>
    <row r="114" spans="1:26" x14ac:dyDescent="0.4">
      <c r="A114" s="104" t="s">
        <v>177</v>
      </c>
      <c r="B114" s="169">
        <v>167</v>
      </c>
      <c r="C114" s="87">
        <v>64</v>
      </c>
      <c r="D114" s="87">
        <v>101</v>
      </c>
      <c r="E114" s="87">
        <v>11</v>
      </c>
      <c r="F114" s="87">
        <v>30</v>
      </c>
      <c r="G114" s="87">
        <v>28</v>
      </c>
      <c r="H114" s="87">
        <v>98</v>
      </c>
      <c r="I114" s="87">
        <v>73</v>
      </c>
      <c r="J114" s="87">
        <v>78</v>
      </c>
      <c r="K114" s="87">
        <v>17</v>
      </c>
      <c r="L114" s="87">
        <v>6</v>
      </c>
      <c r="M114" s="87">
        <v>59</v>
      </c>
      <c r="N114" s="87">
        <v>35</v>
      </c>
      <c r="O114" s="87">
        <v>67</v>
      </c>
      <c r="P114" s="87">
        <v>33</v>
      </c>
      <c r="Q114" s="87">
        <v>91</v>
      </c>
      <c r="R114" s="87">
        <v>44</v>
      </c>
      <c r="S114" s="87">
        <v>40</v>
      </c>
      <c r="T114" s="87">
        <v>83</v>
      </c>
      <c r="U114" s="87">
        <v>44</v>
      </c>
      <c r="V114" s="87">
        <v>1</v>
      </c>
      <c r="W114" s="102">
        <v>135</v>
      </c>
      <c r="X114" s="102">
        <v>32</v>
      </c>
      <c r="Y114" s="102">
        <v>77</v>
      </c>
      <c r="Z114" s="182">
        <v>90</v>
      </c>
    </row>
    <row r="115" spans="1:26" x14ac:dyDescent="0.4">
      <c r="B115" s="170">
        <v>0.01</v>
      </c>
      <c r="C115" s="171">
        <v>0</v>
      </c>
      <c r="D115" s="171">
        <v>0.01</v>
      </c>
      <c r="E115" s="171">
        <v>0</v>
      </c>
      <c r="F115" s="171">
        <v>0</v>
      </c>
      <c r="G115" s="171">
        <v>0</v>
      </c>
      <c r="H115" s="171">
        <v>0.01</v>
      </c>
      <c r="I115" s="171">
        <v>0.02</v>
      </c>
      <c r="J115" s="171">
        <v>0.01</v>
      </c>
      <c r="K115" s="171">
        <v>0</v>
      </c>
      <c r="L115" s="171">
        <v>0</v>
      </c>
      <c r="M115" s="171">
        <v>0</v>
      </c>
      <c r="N115" s="171">
        <v>0.01</v>
      </c>
      <c r="O115" s="171">
        <v>0.01</v>
      </c>
      <c r="P115" s="171">
        <v>0</v>
      </c>
      <c r="Q115" s="171">
        <v>0.01</v>
      </c>
      <c r="R115" s="171">
        <v>0.01</v>
      </c>
      <c r="S115" s="171">
        <v>0.01</v>
      </c>
      <c r="T115" s="171">
        <v>0.01</v>
      </c>
      <c r="U115" s="171">
        <v>0.01</v>
      </c>
      <c r="V115" s="171">
        <v>0</v>
      </c>
      <c r="W115" s="180">
        <v>0.01</v>
      </c>
      <c r="X115" s="180">
        <v>0</v>
      </c>
      <c r="Y115" s="180">
        <v>0.01</v>
      </c>
      <c r="Z115" s="181">
        <v>0.01</v>
      </c>
    </row>
    <row r="116" spans="1:26" x14ac:dyDescent="0.4">
      <c r="A116" s="104" t="s">
        <v>178</v>
      </c>
      <c r="B116" s="169">
        <v>119</v>
      </c>
      <c r="C116" s="87">
        <v>61</v>
      </c>
      <c r="D116" s="87">
        <v>58</v>
      </c>
      <c r="E116" s="87">
        <v>27</v>
      </c>
      <c r="F116" s="87">
        <v>18</v>
      </c>
      <c r="G116" s="87">
        <v>28</v>
      </c>
      <c r="H116" s="87">
        <v>46</v>
      </c>
      <c r="I116" s="87">
        <v>37</v>
      </c>
      <c r="J116" s="87">
        <v>39</v>
      </c>
      <c r="K116" s="87">
        <v>44</v>
      </c>
      <c r="L116" s="87">
        <v>8</v>
      </c>
      <c r="M116" s="87">
        <v>69</v>
      </c>
      <c r="N116" s="87">
        <v>8</v>
      </c>
      <c r="O116" s="87">
        <v>34</v>
      </c>
      <c r="P116" s="87">
        <v>51</v>
      </c>
      <c r="Q116" s="87">
        <v>39</v>
      </c>
      <c r="R116" s="87">
        <v>30</v>
      </c>
      <c r="S116" s="87">
        <v>36</v>
      </c>
      <c r="T116" s="87">
        <v>48</v>
      </c>
      <c r="U116" s="87">
        <v>19</v>
      </c>
      <c r="V116" s="87">
        <v>16</v>
      </c>
      <c r="W116" s="102">
        <v>97</v>
      </c>
      <c r="X116" s="102">
        <v>23</v>
      </c>
      <c r="Y116" s="102">
        <v>69</v>
      </c>
      <c r="Z116" s="182">
        <v>47</v>
      </c>
    </row>
    <row r="117" spans="1:26" x14ac:dyDescent="0.4">
      <c r="B117" s="170">
        <v>0</v>
      </c>
      <c r="C117" s="171">
        <v>0</v>
      </c>
      <c r="D117" s="171">
        <v>0</v>
      </c>
      <c r="E117" s="171">
        <v>0.01</v>
      </c>
      <c r="F117" s="171">
        <v>0</v>
      </c>
      <c r="G117" s="171">
        <v>0</v>
      </c>
      <c r="H117" s="171">
        <v>0.01</v>
      </c>
      <c r="I117" s="171">
        <v>0.01</v>
      </c>
      <c r="J117" s="171">
        <v>0</v>
      </c>
      <c r="K117" s="171">
        <v>0</v>
      </c>
      <c r="L117" s="171">
        <v>0</v>
      </c>
      <c r="M117" s="171">
        <v>0</v>
      </c>
      <c r="N117" s="171">
        <v>0</v>
      </c>
      <c r="O117" s="171">
        <v>0</v>
      </c>
      <c r="P117" s="171">
        <v>0</v>
      </c>
      <c r="Q117" s="171">
        <v>0</v>
      </c>
      <c r="R117" s="171">
        <v>0</v>
      </c>
      <c r="S117" s="171">
        <v>0.01</v>
      </c>
      <c r="T117" s="171">
        <v>0</v>
      </c>
      <c r="U117" s="171">
        <v>0</v>
      </c>
      <c r="V117" s="171">
        <v>0</v>
      </c>
      <c r="W117" s="180">
        <v>0.01</v>
      </c>
      <c r="X117" s="180">
        <v>0</v>
      </c>
      <c r="Y117" s="180">
        <v>0.01</v>
      </c>
      <c r="Z117" s="181">
        <v>0</v>
      </c>
    </row>
    <row r="118" spans="1:26" x14ac:dyDescent="0.4">
      <c r="A118" s="104" t="s">
        <v>179</v>
      </c>
      <c r="B118" s="169">
        <v>123</v>
      </c>
      <c r="C118" s="87">
        <v>69</v>
      </c>
      <c r="D118" s="87">
        <v>53</v>
      </c>
      <c r="E118" s="87">
        <v>19</v>
      </c>
      <c r="F118" s="87">
        <v>28</v>
      </c>
      <c r="G118" s="87">
        <v>23</v>
      </c>
      <c r="H118" s="87">
        <v>53</v>
      </c>
      <c r="I118" s="87">
        <v>35</v>
      </c>
      <c r="J118" s="87">
        <v>16</v>
      </c>
      <c r="K118" s="87">
        <v>72</v>
      </c>
      <c r="L118" s="87">
        <v>12</v>
      </c>
      <c r="M118" s="87">
        <v>54</v>
      </c>
      <c r="N118" s="87">
        <v>6</v>
      </c>
      <c r="O118" s="87">
        <v>46</v>
      </c>
      <c r="P118" s="87">
        <v>74</v>
      </c>
      <c r="Q118" s="87">
        <v>39</v>
      </c>
      <c r="R118" s="87">
        <v>9</v>
      </c>
      <c r="S118" s="87">
        <v>52</v>
      </c>
      <c r="T118" s="87">
        <v>45</v>
      </c>
      <c r="U118" s="87">
        <v>10</v>
      </c>
      <c r="V118" s="87">
        <v>16</v>
      </c>
      <c r="W118" s="102">
        <v>94</v>
      </c>
      <c r="X118" s="102">
        <v>27</v>
      </c>
      <c r="Y118" s="102">
        <v>53</v>
      </c>
      <c r="Z118" s="182">
        <v>59</v>
      </c>
    </row>
    <row r="119" spans="1:26" x14ac:dyDescent="0.4">
      <c r="B119" s="170">
        <v>0</v>
      </c>
      <c r="C119" s="171">
        <v>0.01</v>
      </c>
      <c r="D119" s="171">
        <v>0</v>
      </c>
      <c r="E119" s="171">
        <v>0.01</v>
      </c>
      <c r="F119" s="171">
        <v>0</v>
      </c>
      <c r="G119" s="171">
        <v>0</v>
      </c>
      <c r="H119" s="171">
        <v>0.01</v>
      </c>
      <c r="I119" s="171">
        <v>0.01</v>
      </c>
      <c r="J119" s="171">
        <v>0</v>
      </c>
      <c r="K119" s="171">
        <v>0</v>
      </c>
      <c r="L119" s="171">
        <v>0</v>
      </c>
      <c r="M119" s="171">
        <v>0</v>
      </c>
      <c r="N119" s="171">
        <v>0</v>
      </c>
      <c r="O119" s="171">
        <v>0.01</v>
      </c>
      <c r="P119" s="171">
        <v>0.01</v>
      </c>
      <c r="Q119" s="171">
        <v>0</v>
      </c>
      <c r="R119" s="171">
        <v>0</v>
      </c>
      <c r="S119" s="171">
        <v>0.01</v>
      </c>
      <c r="T119" s="171">
        <v>0</v>
      </c>
      <c r="U119" s="171">
        <v>0</v>
      </c>
      <c r="V119" s="171">
        <v>0</v>
      </c>
      <c r="W119" s="180">
        <v>0.01</v>
      </c>
      <c r="X119" s="180">
        <v>0</v>
      </c>
      <c r="Y119" s="180">
        <v>0</v>
      </c>
      <c r="Z119" s="181">
        <v>0</v>
      </c>
    </row>
    <row r="120" spans="1:26" x14ac:dyDescent="0.4">
      <c r="A120" s="104" t="s">
        <v>180</v>
      </c>
      <c r="B120" s="169">
        <v>59</v>
      </c>
      <c r="C120" s="87">
        <v>28</v>
      </c>
      <c r="D120" s="87">
        <v>30</v>
      </c>
      <c r="E120" s="87">
        <v>13</v>
      </c>
      <c r="F120" s="87">
        <v>12</v>
      </c>
      <c r="G120" s="87">
        <v>9</v>
      </c>
      <c r="H120" s="87">
        <v>26</v>
      </c>
      <c r="I120" s="87">
        <v>21</v>
      </c>
      <c r="J120" s="87">
        <v>8</v>
      </c>
      <c r="K120" s="87">
        <v>30</v>
      </c>
      <c r="L120" s="87">
        <v>6</v>
      </c>
      <c r="M120" s="87">
        <v>21</v>
      </c>
      <c r="N120" s="87">
        <v>6</v>
      </c>
      <c r="O120" s="87">
        <v>22</v>
      </c>
      <c r="P120" s="87">
        <v>7</v>
      </c>
      <c r="Q120" s="87">
        <v>22</v>
      </c>
      <c r="R120" s="87">
        <v>27</v>
      </c>
      <c r="S120" s="87">
        <v>17</v>
      </c>
      <c r="T120" s="87">
        <v>20</v>
      </c>
      <c r="U120" s="87">
        <v>6</v>
      </c>
      <c r="V120" s="87">
        <v>16</v>
      </c>
      <c r="W120" s="102">
        <v>41</v>
      </c>
      <c r="X120" s="102">
        <v>15</v>
      </c>
      <c r="Y120" s="102">
        <v>26</v>
      </c>
      <c r="Z120" s="182">
        <v>27</v>
      </c>
    </row>
    <row r="121" spans="1:26" x14ac:dyDescent="0.4">
      <c r="B121" s="170">
        <v>0</v>
      </c>
      <c r="C121" s="171">
        <v>0</v>
      </c>
      <c r="D121" s="171">
        <v>0</v>
      </c>
      <c r="E121" s="171">
        <v>0</v>
      </c>
      <c r="F121" s="171">
        <v>0</v>
      </c>
      <c r="G121" s="171">
        <v>0</v>
      </c>
      <c r="H121" s="171">
        <v>0</v>
      </c>
      <c r="I121" s="171">
        <v>0.01</v>
      </c>
      <c r="J121" s="171">
        <v>0</v>
      </c>
      <c r="K121" s="171">
        <v>0</v>
      </c>
      <c r="L121" s="171">
        <v>0</v>
      </c>
      <c r="M121" s="171">
        <v>0</v>
      </c>
      <c r="N121" s="171">
        <v>0</v>
      </c>
      <c r="O121" s="171">
        <v>0</v>
      </c>
      <c r="P121" s="171">
        <v>0</v>
      </c>
      <c r="Q121" s="171">
        <v>0</v>
      </c>
      <c r="R121" s="171">
        <v>0</v>
      </c>
      <c r="S121" s="171">
        <v>0</v>
      </c>
      <c r="T121" s="171">
        <v>0</v>
      </c>
      <c r="U121" s="171">
        <v>0</v>
      </c>
      <c r="V121" s="171">
        <v>0</v>
      </c>
      <c r="W121" s="180">
        <v>0</v>
      </c>
      <c r="X121" s="180">
        <v>0</v>
      </c>
      <c r="Y121" s="180">
        <v>0</v>
      </c>
      <c r="Z121" s="181">
        <v>0</v>
      </c>
    </row>
    <row r="122" spans="1:26" x14ac:dyDescent="0.4">
      <c r="A122" s="104" t="s">
        <v>181</v>
      </c>
      <c r="B122" s="169">
        <v>92</v>
      </c>
      <c r="C122" s="87">
        <v>44</v>
      </c>
      <c r="D122" s="87">
        <v>48</v>
      </c>
      <c r="E122" s="87">
        <v>12</v>
      </c>
      <c r="F122" s="87">
        <v>18</v>
      </c>
      <c r="G122" s="87">
        <v>22</v>
      </c>
      <c r="H122" s="87">
        <v>40</v>
      </c>
      <c r="I122" s="87">
        <v>33</v>
      </c>
      <c r="J122" s="87">
        <v>10</v>
      </c>
      <c r="K122" s="87">
        <v>49</v>
      </c>
      <c r="L122" s="87">
        <v>4</v>
      </c>
      <c r="M122" s="87">
        <v>43</v>
      </c>
      <c r="N122" s="87">
        <v>5</v>
      </c>
      <c r="O122" s="87">
        <v>34</v>
      </c>
      <c r="P122" s="87">
        <v>33</v>
      </c>
      <c r="Q122" s="87">
        <v>36</v>
      </c>
      <c r="R122" s="87">
        <v>22</v>
      </c>
      <c r="S122" s="87">
        <v>30</v>
      </c>
      <c r="T122" s="87">
        <v>45</v>
      </c>
      <c r="U122" s="87">
        <v>6</v>
      </c>
      <c r="V122" s="87">
        <v>11</v>
      </c>
      <c r="W122" s="102">
        <v>68</v>
      </c>
      <c r="X122" s="102">
        <v>18</v>
      </c>
      <c r="Y122" s="102">
        <v>34</v>
      </c>
      <c r="Z122" s="182">
        <v>46</v>
      </c>
    </row>
    <row r="123" spans="1:26" x14ac:dyDescent="0.4">
      <c r="B123" s="170">
        <v>0</v>
      </c>
      <c r="C123" s="171">
        <v>0</v>
      </c>
      <c r="D123" s="171">
        <v>0</v>
      </c>
      <c r="E123" s="171">
        <v>0</v>
      </c>
      <c r="F123" s="171">
        <v>0</v>
      </c>
      <c r="G123" s="171">
        <v>0</v>
      </c>
      <c r="H123" s="171">
        <v>0</v>
      </c>
      <c r="I123" s="171">
        <v>0.01</v>
      </c>
      <c r="J123" s="171">
        <v>0</v>
      </c>
      <c r="K123" s="171">
        <v>0</v>
      </c>
      <c r="L123" s="171">
        <v>0</v>
      </c>
      <c r="M123" s="171">
        <v>0</v>
      </c>
      <c r="N123" s="171">
        <v>0</v>
      </c>
      <c r="O123" s="171">
        <v>0</v>
      </c>
      <c r="P123" s="171">
        <v>0</v>
      </c>
      <c r="Q123" s="171">
        <v>0</v>
      </c>
      <c r="R123" s="171">
        <v>0</v>
      </c>
      <c r="S123" s="171">
        <v>0</v>
      </c>
      <c r="T123" s="171">
        <v>0</v>
      </c>
      <c r="U123" s="171">
        <v>0</v>
      </c>
      <c r="V123" s="171">
        <v>0</v>
      </c>
      <c r="W123" s="180">
        <v>0</v>
      </c>
      <c r="X123" s="180">
        <v>0</v>
      </c>
      <c r="Y123" s="180">
        <v>0</v>
      </c>
      <c r="Z123" s="181">
        <v>0</v>
      </c>
    </row>
    <row r="124" spans="1:26" x14ac:dyDescent="0.4">
      <c r="A124" s="104" t="s">
        <v>182</v>
      </c>
      <c r="B124" s="169">
        <v>93</v>
      </c>
      <c r="C124" s="87">
        <v>49</v>
      </c>
      <c r="D124" s="87">
        <v>43</v>
      </c>
      <c r="E124" s="87">
        <v>12</v>
      </c>
      <c r="F124" s="87">
        <v>20</v>
      </c>
      <c r="G124" s="87">
        <v>23</v>
      </c>
      <c r="H124" s="87">
        <v>38</v>
      </c>
      <c r="I124" s="87">
        <v>26</v>
      </c>
      <c r="J124" s="87">
        <v>10</v>
      </c>
      <c r="K124" s="87">
        <v>57</v>
      </c>
      <c r="L124" s="87">
        <v>5</v>
      </c>
      <c r="M124" s="87">
        <v>42</v>
      </c>
      <c r="N124" s="87">
        <v>5</v>
      </c>
      <c r="O124" s="87">
        <v>37</v>
      </c>
      <c r="P124" s="87">
        <v>26</v>
      </c>
      <c r="Q124" s="87">
        <v>36</v>
      </c>
      <c r="R124" s="87">
        <v>30</v>
      </c>
      <c r="S124" s="87">
        <v>35</v>
      </c>
      <c r="T124" s="87">
        <v>35</v>
      </c>
      <c r="U124" s="87">
        <v>7</v>
      </c>
      <c r="V124" s="87">
        <v>16</v>
      </c>
      <c r="W124" s="102">
        <v>74</v>
      </c>
      <c r="X124" s="102">
        <v>17</v>
      </c>
      <c r="Y124" s="102">
        <v>47</v>
      </c>
      <c r="Z124" s="182">
        <v>38</v>
      </c>
    </row>
    <row r="125" spans="1:26" x14ac:dyDescent="0.4">
      <c r="B125" s="170">
        <v>0</v>
      </c>
      <c r="C125" s="171">
        <v>0</v>
      </c>
      <c r="D125" s="171">
        <v>0</v>
      </c>
      <c r="E125" s="171">
        <v>0</v>
      </c>
      <c r="F125" s="171">
        <v>0</v>
      </c>
      <c r="G125" s="171">
        <v>0</v>
      </c>
      <c r="H125" s="171">
        <v>0</v>
      </c>
      <c r="I125" s="171">
        <v>0.01</v>
      </c>
      <c r="J125" s="171">
        <v>0</v>
      </c>
      <c r="K125" s="171">
        <v>0</v>
      </c>
      <c r="L125" s="171">
        <v>0</v>
      </c>
      <c r="M125" s="171">
        <v>0</v>
      </c>
      <c r="N125" s="171">
        <v>0</v>
      </c>
      <c r="O125" s="171">
        <v>0.01</v>
      </c>
      <c r="P125" s="171">
        <v>0</v>
      </c>
      <c r="Q125" s="171">
        <v>0</v>
      </c>
      <c r="R125" s="171">
        <v>0</v>
      </c>
      <c r="S125" s="171">
        <v>0.01</v>
      </c>
      <c r="T125" s="171">
        <v>0</v>
      </c>
      <c r="U125" s="171">
        <v>0</v>
      </c>
      <c r="V125" s="171">
        <v>0</v>
      </c>
      <c r="W125" s="180">
        <v>0</v>
      </c>
      <c r="X125" s="180">
        <v>0</v>
      </c>
      <c r="Y125" s="180">
        <v>0</v>
      </c>
      <c r="Z125" s="181">
        <v>0</v>
      </c>
    </row>
    <row r="126" spans="1:26" x14ac:dyDescent="0.4">
      <c r="A126" s="104" t="s">
        <v>183</v>
      </c>
      <c r="B126" s="169">
        <v>50</v>
      </c>
      <c r="C126" s="87">
        <v>31</v>
      </c>
      <c r="D126" s="87">
        <v>18</v>
      </c>
      <c r="E126" s="87">
        <v>10</v>
      </c>
      <c r="F126" s="87">
        <v>9</v>
      </c>
      <c r="G126" s="87">
        <v>12</v>
      </c>
      <c r="H126" s="87">
        <v>18</v>
      </c>
      <c r="I126" s="87">
        <v>10</v>
      </c>
      <c r="J126" s="87">
        <v>6</v>
      </c>
      <c r="K126" s="87">
        <v>33</v>
      </c>
      <c r="L126" s="87">
        <v>5</v>
      </c>
      <c r="M126" s="87">
        <v>28</v>
      </c>
      <c r="N126" s="87">
        <v>4</v>
      </c>
      <c r="O126" s="87">
        <v>12</v>
      </c>
      <c r="P126" s="87">
        <v>10</v>
      </c>
      <c r="Q126" s="87">
        <v>18</v>
      </c>
      <c r="R126" s="87">
        <v>21</v>
      </c>
      <c r="S126" s="87">
        <v>14</v>
      </c>
      <c r="T126" s="87">
        <v>21</v>
      </c>
      <c r="U126" s="87">
        <v>7</v>
      </c>
      <c r="V126" s="87">
        <v>7</v>
      </c>
      <c r="W126" s="102">
        <v>38</v>
      </c>
      <c r="X126" s="102">
        <v>8</v>
      </c>
      <c r="Y126" s="102">
        <v>18</v>
      </c>
      <c r="Z126" s="182">
        <v>27</v>
      </c>
    </row>
    <row r="127" spans="1:26" x14ac:dyDescent="0.4">
      <c r="B127" s="170">
        <v>0</v>
      </c>
      <c r="C127" s="171">
        <v>0</v>
      </c>
      <c r="D127" s="171">
        <v>0</v>
      </c>
      <c r="E127" s="171">
        <v>0</v>
      </c>
      <c r="F127" s="171">
        <v>0</v>
      </c>
      <c r="G127" s="171">
        <v>0</v>
      </c>
      <c r="H127" s="171">
        <v>0</v>
      </c>
      <c r="I127" s="171">
        <v>0</v>
      </c>
      <c r="J127" s="171">
        <v>0</v>
      </c>
      <c r="K127" s="171">
        <v>0</v>
      </c>
      <c r="L127" s="171">
        <v>0</v>
      </c>
      <c r="M127" s="171">
        <v>0</v>
      </c>
      <c r="N127" s="171">
        <v>0</v>
      </c>
      <c r="O127" s="171">
        <v>0</v>
      </c>
      <c r="P127" s="171">
        <v>0</v>
      </c>
      <c r="Q127" s="171">
        <v>0</v>
      </c>
      <c r="R127" s="171">
        <v>0</v>
      </c>
      <c r="S127" s="171">
        <v>0</v>
      </c>
      <c r="T127" s="171">
        <v>0</v>
      </c>
      <c r="U127" s="171">
        <v>0</v>
      </c>
      <c r="V127" s="171">
        <v>0</v>
      </c>
      <c r="W127" s="180">
        <v>0</v>
      </c>
      <c r="X127" s="180">
        <v>0</v>
      </c>
      <c r="Y127" s="180">
        <v>0</v>
      </c>
      <c r="Z127" s="181">
        <v>0</v>
      </c>
    </row>
    <row r="128" spans="1:26" x14ac:dyDescent="0.4">
      <c r="A128" s="104" t="s">
        <v>184</v>
      </c>
      <c r="B128" s="169">
        <v>133</v>
      </c>
      <c r="C128" s="87">
        <v>69</v>
      </c>
      <c r="D128" s="87">
        <v>61</v>
      </c>
      <c r="E128" s="87">
        <v>24</v>
      </c>
      <c r="F128" s="87">
        <v>55</v>
      </c>
      <c r="G128" s="87">
        <v>38</v>
      </c>
      <c r="H128" s="87">
        <v>16</v>
      </c>
      <c r="I128" s="87">
        <v>12</v>
      </c>
      <c r="J128" s="87">
        <v>24</v>
      </c>
      <c r="K128" s="87">
        <v>97</v>
      </c>
      <c r="L128" s="87">
        <v>9</v>
      </c>
      <c r="M128" s="87">
        <v>77</v>
      </c>
      <c r="N128" s="87">
        <v>12</v>
      </c>
      <c r="O128" s="87">
        <v>29</v>
      </c>
      <c r="P128" s="87">
        <v>64</v>
      </c>
      <c r="Q128" s="87">
        <v>47</v>
      </c>
      <c r="R128" s="87">
        <v>19</v>
      </c>
      <c r="S128" s="87">
        <v>23</v>
      </c>
      <c r="T128" s="87">
        <v>46</v>
      </c>
      <c r="U128" s="87">
        <v>29</v>
      </c>
      <c r="V128" s="87">
        <v>35</v>
      </c>
      <c r="W128" s="102">
        <v>89</v>
      </c>
      <c r="X128" s="102">
        <v>38</v>
      </c>
      <c r="Y128" s="102">
        <v>65</v>
      </c>
      <c r="Z128" s="182">
        <v>61</v>
      </c>
    </row>
    <row r="129" spans="1:26" x14ac:dyDescent="0.4">
      <c r="B129" s="170">
        <v>0</v>
      </c>
      <c r="C129" s="171">
        <v>0.01</v>
      </c>
      <c r="D129" s="171">
        <v>0</v>
      </c>
      <c r="E129" s="171">
        <v>0.01</v>
      </c>
      <c r="F129" s="171">
        <v>0.01</v>
      </c>
      <c r="G129" s="171">
        <v>0</v>
      </c>
      <c r="H129" s="171">
        <v>0</v>
      </c>
      <c r="I129" s="171">
        <v>0</v>
      </c>
      <c r="J129" s="171">
        <v>0</v>
      </c>
      <c r="K129" s="171">
        <v>0.01</v>
      </c>
      <c r="L129" s="171">
        <v>0</v>
      </c>
      <c r="M129" s="171">
        <v>0.01</v>
      </c>
      <c r="N129" s="171">
        <v>0</v>
      </c>
      <c r="O129" s="171">
        <v>0</v>
      </c>
      <c r="P129" s="171">
        <v>0.01</v>
      </c>
      <c r="Q129" s="171">
        <v>0</v>
      </c>
      <c r="R129" s="171">
        <v>0</v>
      </c>
      <c r="S129" s="171">
        <v>0</v>
      </c>
      <c r="T129" s="171">
        <v>0</v>
      </c>
      <c r="U129" s="171">
        <v>0.01</v>
      </c>
      <c r="V129" s="171">
        <v>0.01</v>
      </c>
      <c r="W129" s="180">
        <v>0.01</v>
      </c>
      <c r="X129" s="180">
        <v>0</v>
      </c>
      <c r="Y129" s="180">
        <v>0.01</v>
      </c>
      <c r="Z129" s="181">
        <v>0</v>
      </c>
    </row>
    <row r="130" spans="1:26" x14ac:dyDescent="0.4">
      <c r="A130" s="104" t="s">
        <v>185</v>
      </c>
      <c r="B130" s="169">
        <v>254</v>
      </c>
      <c r="C130" s="87">
        <v>115</v>
      </c>
      <c r="D130" s="87">
        <v>135</v>
      </c>
      <c r="E130" s="87">
        <v>30</v>
      </c>
      <c r="F130" s="87">
        <v>57</v>
      </c>
      <c r="G130" s="87">
        <v>81</v>
      </c>
      <c r="H130" s="87">
        <v>85</v>
      </c>
      <c r="I130" s="87">
        <v>59</v>
      </c>
      <c r="J130" s="87">
        <v>50</v>
      </c>
      <c r="K130" s="87">
        <v>146</v>
      </c>
      <c r="L130" s="87">
        <v>38</v>
      </c>
      <c r="M130" s="87">
        <v>117</v>
      </c>
      <c r="N130" s="87">
        <v>22</v>
      </c>
      <c r="O130" s="87">
        <v>72</v>
      </c>
      <c r="P130" s="87">
        <v>198</v>
      </c>
      <c r="Q130" s="87">
        <v>46</v>
      </c>
      <c r="R130" s="87">
        <v>9</v>
      </c>
      <c r="S130" s="87">
        <v>48</v>
      </c>
      <c r="T130" s="87">
        <v>93</v>
      </c>
      <c r="U130" s="87">
        <v>42</v>
      </c>
      <c r="V130" s="87">
        <v>71</v>
      </c>
      <c r="W130" s="102">
        <v>170</v>
      </c>
      <c r="X130" s="102">
        <v>72</v>
      </c>
      <c r="Y130" s="102">
        <v>121</v>
      </c>
      <c r="Z130" s="182">
        <v>117</v>
      </c>
    </row>
    <row r="131" spans="1:26" x14ac:dyDescent="0.4">
      <c r="B131" s="170">
        <v>0.01</v>
      </c>
      <c r="C131" s="171">
        <v>0.01</v>
      </c>
      <c r="D131" s="171">
        <v>0.01</v>
      </c>
      <c r="E131" s="171">
        <v>0.01</v>
      </c>
      <c r="F131" s="171">
        <v>0.01</v>
      </c>
      <c r="G131" s="171">
        <v>0.01</v>
      </c>
      <c r="H131" s="171">
        <v>0.01</v>
      </c>
      <c r="I131" s="171">
        <v>0.02</v>
      </c>
      <c r="J131" s="171">
        <v>0.01</v>
      </c>
      <c r="K131" s="171">
        <v>0.01</v>
      </c>
      <c r="L131" s="171">
        <v>0.01</v>
      </c>
      <c r="M131" s="171">
        <v>0.01</v>
      </c>
      <c r="N131" s="171">
        <v>0.01</v>
      </c>
      <c r="O131" s="171">
        <v>0.01</v>
      </c>
      <c r="P131" s="171">
        <v>0.02</v>
      </c>
      <c r="Q131" s="171">
        <v>0</v>
      </c>
      <c r="R131" s="171">
        <v>0</v>
      </c>
      <c r="S131" s="171">
        <v>0.01</v>
      </c>
      <c r="T131" s="171">
        <v>0.01</v>
      </c>
      <c r="U131" s="171">
        <v>0.01</v>
      </c>
      <c r="V131" s="171">
        <v>0.01</v>
      </c>
      <c r="W131" s="180">
        <v>0.01</v>
      </c>
      <c r="X131" s="180">
        <v>0.01</v>
      </c>
      <c r="Y131" s="180">
        <v>0.01</v>
      </c>
      <c r="Z131" s="181">
        <v>0.01</v>
      </c>
    </row>
    <row r="132" spans="1:26" x14ac:dyDescent="0.4">
      <c r="A132" s="104" t="s">
        <v>186</v>
      </c>
      <c r="B132" s="169">
        <v>68</v>
      </c>
      <c r="C132" s="87">
        <v>29</v>
      </c>
      <c r="D132" s="87">
        <v>39</v>
      </c>
      <c r="E132" s="87">
        <v>9</v>
      </c>
      <c r="F132" s="87">
        <v>18</v>
      </c>
      <c r="G132" s="87">
        <v>22</v>
      </c>
      <c r="H132" s="87">
        <v>19</v>
      </c>
      <c r="I132" s="87">
        <v>27</v>
      </c>
      <c r="J132" s="87">
        <v>17</v>
      </c>
      <c r="K132" s="87">
        <v>24</v>
      </c>
      <c r="L132" s="87">
        <v>13</v>
      </c>
      <c r="M132" s="87">
        <v>27</v>
      </c>
      <c r="N132" s="87">
        <v>8</v>
      </c>
      <c r="O132" s="87">
        <v>20</v>
      </c>
      <c r="P132" s="87">
        <v>21</v>
      </c>
      <c r="Q132" s="87">
        <v>25</v>
      </c>
      <c r="R132" s="87">
        <v>22</v>
      </c>
      <c r="S132" s="87">
        <v>9</v>
      </c>
      <c r="T132" s="87">
        <v>26</v>
      </c>
      <c r="U132" s="87">
        <v>11</v>
      </c>
      <c r="V132" s="87">
        <v>22</v>
      </c>
      <c r="W132" s="102">
        <v>45</v>
      </c>
      <c r="X132" s="102">
        <v>21</v>
      </c>
      <c r="Y132" s="102">
        <v>29</v>
      </c>
      <c r="Z132" s="182">
        <v>36</v>
      </c>
    </row>
    <row r="133" spans="1:26" x14ac:dyDescent="0.4">
      <c r="B133" s="170">
        <v>0</v>
      </c>
      <c r="C133" s="171">
        <v>0</v>
      </c>
      <c r="D133" s="171">
        <v>0</v>
      </c>
      <c r="E133" s="171">
        <v>0</v>
      </c>
      <c r="F133" s="171">
        <v>0</v>
      </c>
      <c r="G133" s="171">
        <v>0</v>
      </c>
      <c r="H133" s="171">
        <v>0</v>
      </c>
      <c r="I133" s="171">
        <v>0.01</v>
      </c>
      <c r="J133" s="171">
        <v>0</v>
      </c>
      <c r="K133" s="171">
        <v>0</v>
      </c>
      <c r="L133" s="171">
        <v>0</v>
      </c>
      <c r="M133" s="171">
        <v>0</v>
      </c>
      <c r="N133" s="171">
        <v>0</v>
      </c>
      <c r="O133" s="171">
        <v>0</v>
      </c>
      <c r="P133" s="171">
        <v>0</v>
      </c>
      <c r="Q133" s="171">
        <v>0</v>
      </c>
      <c r="R133" s="171">
        <v>0</v>
      </c>
      <c r="S133" s="171">
        <v>0</v>
      </c>
      <c r="T133" s="171">
        <v>0</v>
      </c>
      <c r="U133" s="171">
        <v>0</v>
      </c>
      <c r="V133" s="171">
        <v>0</v>
      </c>
      <c r="W133" s="180">
        <v>0</v>
      </c>
      <c r="X133" s="180">
        <v>0</v>
      </c>
      <c r="Y133" s="180">
        <v>0</v>
      </c>
      <c r="Z133" s="181">
        <v>0</v>
      </c>
    </row>
    <row r="134" spans="1:26" x14ac:dyDescent="0.4">
      <c r="A134" s="104" t="s">
        <v>187</v>
      </c>
      <c r="B134" s="169">
        <v>184</v>
      </c>
      <c r="C134" s="87">
        <v>106</v>
      </c>
      <c r="D134" s="87">
        <v>78</v>
      </c>
      <c r="E134" s="87">
        <v>24</v>
      </c>
      <c r="F134" s="87">
        <v>36</v>
      </c>
      <c r="G134" s="87">
        <v>66</v>
      </c>
      <c r="H134" s="87">
        <v>58</v>
      </c>
      <c r="I134" s="87">
        <v>54</v>
      </c>
      <c r="J134" s="87">
        <v>52</v>
      </c>
      <c r="K134" s="87">
        <v>79</v>
      </c>
      <c r="L134" s="87">
        <v>28</v>
      </c>
      <c r="M134" s="87">
        <v>72</v>
      </c>
      <c r="N134" s="87">
        <v>29</v>
      </c>
      <c r="O134" s="87">
        <v>54</v>
      </c>
      <c r="P134" s="87">
        <v>88</v>
      </c>
      <c r="Q134" s="87">
        <v>62</v>
      </c>
      <c r="R134" s="87">
        <v>34</v>
      </c>
      <c r="S134" s="87">
        <v>21</v>
      </c>
      <c r="T134" s="87">
        <v>62</v>
      </c>
      <c r="U134" s="87">
        <v>37</v>
      </c>
      <c r="V134" s="87">
        <v>63</v>
      </c>
      <c r="W134" s="102">
        <v>125</v>
      </c>
      <c r="X134" s="102">
        <v>51</v>
      </c>
      <c r="Y134" s="102">
        <v>95</v>
      </c>
      <c r="Z134" s="182">
        <v>82</v>
      </c>
    </row>
    <row r="135" spans="1:26" x14ac:dyDescent="0.4">
      <c r="B135" s="170">
        <v>0.01</v>
      </c>
      <c r="C135" s="171">
        <v>0.01</v>
      </c>
      <c r="D135" s="171">
        <v>0.01</v>
      </c>
      <c r="E135" s="171">
        <v>0.01</v>
      </c>
      <c r="F135" s="171">
        <v>0</v>
      </c>
      <c r="G135" s="171">
        <v>0.01</v>
      </c>
      <c r="H135" s="171">
        <v>0.01</v>
      </c>
      <c r="I135" s="171">
        <v>0.02</v>
      </c>
      <c r="J135" s="171">
        <v>0.01</v>
      </c>
      <c r="K135" s="171">
        <v>0.01</v>
      </c>
      <c r="L135" s="171">
        <v>0.01</v>
      </c>
      <c r="M135" s="171">
        <v>0.01</v>
      </c>
      <c r="N135" s="171">
        <v>0.01</v>
      </c>
      <c r="O135" s="171">
        <v>0.01</v>
      </c>
      <c r="P135" s="171">
        <v>0.01</v>
      </c>
      <c r="Q135" s="171">
        <v>0.01</v>
      </c>
      <c r="R135" s="171">
        <v>0.01</v>
      </c>
      <c r="S135" s="171">
        <v>0</v>
      </c>
      <c r="T135" s="171">
        <v>0.01</v>
      </c>
      <c r="U135" s="171">
        <v>0.01</v>
      </c>
      <c r="V135" s="171">
        <v>0.01</v>
      </c>
      <c r="W135" s="180">
        <v>0.01</v>
      </c>
      <c r="X135" s="180">
        <v>0.01</v>
      </c>
      <c r="Y135" s="180">
        <v>0.01</v>
      </c>
      <c r="Z135" s="181">
        <v>0.01</v>
      </c>
    </row>
    <row r="136" spans="1:26" x14ac:dyDescent="0.4">
      <c r="A136" s="104" t="s">
        <v>188</v>
      </c>
      <c r="B136" s="169">
        <v>161</v>
      </c>
      <c r="C136" s="87">
        <v>68</v>
      </c>
      <c r="D136" s="87">
        <v>93</v>
      </c>
      <c r="E136" s="87">
        <v>18</v>
      </c>
      <c r="F136" s="87">
        <v>40</v>
      </c>
      <c r="G136" s="87">
        <v>54</v>
      </c>
      <c r="H136" s="87">
        <v>48</v>
      </c>
      <c r="I136" s="87">
        <v>55</v>
      </c>
      <c r="J136" s="87">
        <v>41</v>
      </c>
      <c r="K136" s="87">
        <v>65</v>
      </c>
      <c r="L136" s="87">
        <v>35</v>
      </c>
      <c r="M136" s="87">
        <v>60</v>
      </c>
      <c r="N136" s="87">
        <v>18</v>
      </c>
      <c r="O136" s="87">
        <v>46</v>
      </c>
      <c r="P136" s="87">
        <v>52</v>
      </c>
      <c r="Q136" s="87">
        <v>61</v>
      </c>
      <c r="R136" s="87">
        <v>47</v>
      </c>
      <c r="S136" s="87">
        <v>28</v>
      </c>
      <c r="T136" s="87">
        <v>51</v>
      </c>
      <c r="U136" s="87">
        <v>30</v>
      </c>
      <c r="V136" s="87">
        <v>51</v>
      </c>
      <c r="W136" s="102">
        <v>114</v>
      </c>
      <c r="X136" s="102">
        <v>40</v>
      </c>
      <c r="Y136" s="102">
        <v>83</v>
      </c>
      <c r="Z136" s="182">
        <v>67</v>
      </c>
    </row>
    <row r="137" spans="1:26" x14ac:dyDescent="0.4">
      <c r="B137" s="170">
        <v>0.01</v>
      </c>
      <c r="C137" s="171">
        <v>0.01</v>
      </c>
      <c r="D137" s="171">
        <v>0.01</v>
      </c>
      <c r="E137" s="171">
        <v>0.01</v>
      </c>
      <c r="F137" s="171">
        <v>0.01</v>
      </c>
      <c r="G137" s="171">
        <v>0.01</v>
      </c>
      <c r="H137" s="171">
        <v>0.01</v>
      </c>
      <c r="I137" s="171">
        <v>0.02</v>
      </c>
      <c r="J137" s="171">
        <v>0</v>
      </c>
      <c r="K137" s="171">
        <v>0</v>
      </c>
      <c r="L137" s="171">
        <v>0.01</v>
      </c>
      <c r="M137" s="171">
        <v>0</v>
      </c>
      <c r="N137" s="171">
        <v>0.01</v>
      </c>
      <c r="O137" s="171">
        <v>0.01</v>
      </c>
      <c r="P137" s="171">
        <v>0</v>
      </c>
      <c r="Q137" s="171">
        <v>0.01</v>
      </c>
      <c r="R137" s="171">
        <v>0.01</v>
      </c>
      <c r="S137" s="171">
        <v>0</v>
      </c>
      <c r="T137" s="171">
        <v>0</v>
      </c>
      <c r="U137" s="171">
        <v>0.01</v>
      </c>
      <c r="V137" s="171">
        <v>0.01</v>
      </c>
      <c r="W137" s="180">
        <v>0.01</v>
      </c>
      <c r="X137" s="180">
        <v>0</v>
      </c>
      <c r="Y137" s="180">
        <v>0.01</v>
      </c>
      <c r="Z137" s="181">
        <v>0</v>
      </c>
    </row>
    <row r="138" spans="1:26" x14ac:dyDescent="0.4">
      <c r="A138" s="104" t="s">
        <v>189</v>
      </c>
      <c r="B138" s="169">
        <v>153</v>
      </c>
      <c r="C138" s="87">
        <v>73</v>
      </c>
      <c r="D138" s="87">
        <v>80</v>
      </c>
      <c r="E138" s="87">
        <v>11</v>
      </c>
      <c r="F138" s="87">
        <v>36</v>
      </c>
      <c r="G138" s="87">
        <v>43</v>
      </c>
      <c r="H138" s="87">
        <v>63</v>
      </c>
      <c r="I138" s="87">
        <v>55</v>
      </c>
      <c r="J138" s="87">
        <v>44</v>
      </c>
      <c r="K138" s="87">
        <v>54</v>
      </c>
      <c r="L138" s="87">
        <v>9</v>
      </c>
      <c r="M138" s="87">
        <v>89</v>
      </c>
      <c r="N138" s="87">
        <v>10</v>
      </c>
      <c r="O138" s="87">
        <v>45</v>
      </c>
      <c r="P138" s="87">
        <v>40</v>
      </c>
      <c r="Q138" s="87">
        <v>65</v>
      </c>
      <c r="R138" s="87">
        <v>48</v>
      </c>
      <c r="S138" s="87">
        <v>30</v>
      </c>
      <c r="T138" s="87">
        <v>56</v>
      </c>
      <c r="U138" s="87">
        <v>40</v>
      </c>
      <c r="V138" s="87">
        <v>26</v>
      </c>
      <c r="W138" s="102">
        <v>73</v>
      </c>
      <c r="X138" s="102">
        <v>70</v>
      </c>
      <c r="Y138" s="102">
        <v>24</v>
      </c>
      <c r="Z138" s="182">
        <v>113</v>
      </c>
    </row>
    <row r="139" spans="1:26" x14ac:dyDescent="0.4">
      <c r="B139" s="170">
        <v>0.01</v>
      </c>
      <c r="C139" s="171">
        <v>0.01</v>
      </c>
      <c r="D139" s="171">
        <v>0.01</v>
      </c>
      <c r="E139" s="171">
        <v>0</v>
      </c>
      <c r="F139" s="171">
        <v>0</v>
      </c>
      <c r="G139" s="171">
        <v>0.01</v>
      </c>
      <c r="H139" s="171">
        <v>0.01</v>
      </c>
      <c r="I139" s="171">
        <v>0.02</v>
      </c>
      <c r="J139" s="171">
        <v>0</v>
      </c>
      <c r="K139" s="171">
        <v>0</v>
      </c>
      <c r="L139" s="171">
        <v>0</v>
      </c>
      <c r="M139" s="171">
        <v>0.01</v>
      </c>
      <c r="N139" s="171">
        <v>0</v>
      </c>
      <c r="O139" s="171">
        <v>0.01</v>
      </c>
      <c r="P139" s="171">
        <v>0</v>
      </c>
      <c r="Q139" s="171">
        <v>0.01</v>
      </c>
      <c r="R139" s="171">
        <v>0.01</v>
      </c>
      <c r="S139" s="171">
        <v>0</v>
      </c>
      <c r="T139" s="171">
        <v>0.01</v>
      </c>
      <c r="U139" s="171">
        <v>0.01</v>
      </c>
      <c r="V139" s="171">
        <v>0</v>
      </c>
      <c r="W139" s="180">
        <v>0</v>
      </c>
      <c r="X139" s="180">
        <v>0.01</v>
      </c>
      <c r="Y139" s="180">
        <v>0</v>
      </c>
      <c r="Z139" s="181">
        <v>0.01</v>
      </c>
    </row>
    <row r="140" spans="1:26" x14ac:dyDescent="0.4">
      <c r="A140" s="104" t="s">
        <v>190</v>
      </c>
      <c r="B140" s="169">
        <v>60</v>
      </c>
      <c r="C140" s="87">
        <v>43</v>
      </c>
      <c r="D140" s="87">
        <v>17</v>
      </c>
      <c r="E140" s="87">
        <v>0</v>
      </c>
      <c r="F140" s="87">
        <v>12</v>
      </c>
      <c r="G140" s="87">
        <v>7</v>
      </c>
      <c r="H140" s="87">
        <v>42</v>
      </c>
      <c r="I140" s="87">
        <v>24</v>
      </c>
      <c r="J140" s="87">
        <v>13</v>
      </c>
      <c r="K140" s="87">
        <v>23</v>
      </c>
      <c r="L140" s="87">
        <v>8</v>
      </c>
      <c r="M140" s="87">
        <v>22</v>
      </c>
      <c r="N140" s="87">
        <v>4</v>
      </c>
      <c r="O140" s="87">
        <v>26</v>
      </c>
      <c r="P140" s="87">
        <v>27</v>
      </c>
      <c r="Q140" s="87">
        <v>28</v>
      </c>
      <c r="R140" s="87">
        <v>4</v>
      </c>
      <c r="S140" s="87">
        <v>17</v>
      </c>
      <c r="T140" s="87">
        <v>27</v>
      </c>
      <c r="U140" s="87">
        <v>8</v>
      </c>
      <c r="V140" s="87">
        <v>7</v>
      </c>
      <c r="W140" s="102">
        <v>36</v>
      </c>
      <c r="X140" s="102">
        <v>24</v>
      </c>
      <c r="Y140" s="102">
        <v>10</v>
      </c>
      <c r="Z140" s="182">
        <v>41</v>
      </c>
    </row>
    <row r="141" spans="1:26" x14ac:dyDescent="0.4">
      <c r="B141" s="170">
        <v>0</v>
      </c>
      <c r="C141" s="171">
        <v>0</v>
      </c>
      <c r="D141" s="171">
        <v>0</v>
      </c>
      <c r="E141" s="87">
        <v>0</v>
      </c>
      <c r="F141" s="171">
        <v>0</v>
      </c>
      <c r="G141" s="171">
        <v>0</v>
      </c>
      <c r="H141" s="171">
        <v>0.01</v>
      </c>
      <c r="I141" s="171">
        <v>0.01</v>
      </c>
      <c r="J141" s="171">
        <v>0</v>
      </c>
      <c r="K141" s="171">
        <v>0</v>
      </c>
      <c r="L141" s="171">
        <v>0</v>
      </c>
      <c r="M141" s="171">
        <v>0</v>
      </c>
      <c r="N141" s="171">
        <v>0</v>
      </c>
      <c r="O141" s="171">
        <v>0</v>
      </c>
      <c r="P141" s="171">
        <v>0</v>
      </c>
      <c r="Q141" s="171">
        <v>0</v>
      </c>
      <c r="R141" s="171">
        <v>0</v>
      </c>
      <c r="S141" s="171">
        <v>0</v>
      </c>
      <c r="T141" s="171">
        <v>0</v>
      </c>
      <c r="U141" s="171">
        <v>0</v>
      </c>
      <c r="V141" s="171">
        <v>0</v>
      </c>
      <c r="W141" s="180">
        <v>0</v>
      </c>
      <c r="X141" s="180">
        <v>0</v>
      </c>
      <c r="Y141" s="180">
        <v>0</v>
      </c>
      <c r="Z141" s="181">
        <v>0</v>
      </c>
    </row>
    <row r="142" spans="1:26" x14ac:dyDescent="0.4">
      <c r="A142" s="104" t="s">
        <v>191</v>
      </c>
      <c r="B142" s="169">
        <v>34</v>
      </c>
      <c r="C142" s="87">
        <v>20</v>
      </c>
      <c r="D142" s="87">
        <v>13</v>
      </c>
      <c r="E142" s="87">
        <v>6</v>
      </c>
      <c r="F142" s="87">
        <v>10</v>
      </c>
      <c r="G142" s="87">
        <v>4</v>
      </c>
      <c r="H142" s="87">
        <v>14</v>
      </c>
      <c r="I142" s="87">
        <v>6</v>
      </c>
      <c r="J142" s="87">
        <v>11</v>
      </c>
      <c r="K142" s="87">
        <v>16</v>
      </c>
      <c r="L142" s="87">
        <v>0</v>
      </c>
      <c r="M142" s="87">
        <v>30</v>
      </c>
      <c r="N142" s="87">
        <v>0</v>
      </c>
      <c r="O142" s="87">
        <v>4</v>
      </c>
      <c r="P142" s="87">
        <v>6</v>
      </c>
      <c r="Q142" s="87">
        <v>23</v>
      </c>
      <c r="R142" s="87">
        <v>4</v>
      </c>
      <c r="S142" s="87">
        <v>13</v>
      </c>
      <c r="T142" s="87">
        <v>7</v>
      </c>
      <c r="U142" s="87">
        <v>4</v>
      </c>
      <c r="V142" s="87">
        <v>10</v>
      </c>
      <c r="W142" s="102">
        <v>8</v>
      </c>
      <c r="X142" s="102">
        <v>25</v>
      </c>
      <c r="Y142" s="102">
        <v>4</v>
      </c>
      <c r="Z142" s="182">
        <v>29</v>
      </c>
    </row>
    <row r="143" spans="1:26" x14ac:dyDescent="0.4">
      <c r="B143" s="170">
        <v>0</v>
      </c>
      <c r="C143" s="171">
        <v>0</v>
      </c>
      <c r="D143" s="171">
        <v>0</v>
      </c>
      <c r="E143" s="171">
        <v>0</v>
      </c>
      <c r="F143" s="171">
        <v>0</v>
      </c>
      <c r="G143" s="171">
        <v>0</v>
      </c>
      <c r="H143" s="171">
        <v>0</v>
      </c>
      <c r="I143" s="171">
        <v>0</v>
      </c>
      <c r="J143" s="171">
        <v>0</v>
      </c>
      <c r="K143" s="171">
        <v>0</v>
      </c>
      <c r="L143" s="87">
        <v>0</v>
      </c>
      <c r="M143" s="171">
        <v>0</v>
      </c>
      <c r="N143" s="87">
        <v>0</v>
      </c>
      <c r="O143" s="171">
        <v>0</v>
      </c>
      <c r="P143" s="171">
        <v>0</v>
      </c>
      <c r="Q143" s="171">
        <v>0</v>
      </c>
      <c r="R143" s="171">
        <v>0</v>
      </c>
      <c r="S143" s="171">
        <v>0</v>
      </c>
      <c r="T143" s="171">
        <v>0</v>
      </c>
      <c r="U143" s="171">
        <v>0</v>
      </c>
      <c r="V143" s="171">
        <v>0</v>
      </c>
      <c r="W143" s="180">
        <v>0</v>
      </c>
      <c r="X143" s="180">
        <v>0</v>
      </c>
      <c r="Y143" s="180">
        <v>0</v>
      </c>
      <c r="Z143" s="181">
        <v>0</v>
      </c>
    </row>
    <row r="144" spans="1:26" x14ac:dyDescent="0.4">
      <c r="A144" s="104" t="s">
        <v>192</v>
      </c>
      <c r="B144" s="169">
        <v>124</v>
      </c>
      <c r="C144" s="87">
        <v>60</v>
      </c>
      <c r="D144" s="87">
        <v>62</v>
      </c>
      <c r="E144" s="87">
        <v>7</v>
      </c>
      <c r="F144" s="87">
        <v>25</v>
      </c>
      <c r="G144" s="87">
        <v>43</v>
      </c>
      <c r="H144" s="87">
        <v>49</v>
      </c>
      <c r="I144" s="87">
        <v>25</v>
      </c>
      <c r="J144" s="87">
        <v>24</v>
      </c>
      <c r="K144" s="87">
        <v>75</v>
      </c>
      <c r="L144" s="87">
        <v>0</v>
      </c>
      <c r="M144" s="87">
        <v>87</v>
      </c>
      <c r="N144" s="87">
        <v>0</v>
      </c>
      <c r="O144" s="87">
        <v>32</v>
      </c>
      <c r="P144" s="87">
        <v>43</v>
      </c>
      <c r="Q144" s="87">
        <v>66</v>
      </c>
      <c r="R144" s="87">
        <v>14</v>
      </c>
      <c r="S144" s="87">
        <v>27</v>
      </c>
      <c r="T144" s="87">
        <v>42</v>
      </c>
      <c r="U144" s="87">
        <v>24</v>
      </c>
      <c r="V144" s="87">
        <v>31</v>
      </c>
      <c r="W144" s="102">
        <v>69</v>
      </c>
      <c r="X144" s="102">
        <v>42</v>
      </c>
      <c r="Y144" s="102">
        <v>34</v>
      </c>
      <c r="Z144" s="182">
        <v>90</v>
      </c>
    </row>
    <row r="145" spans="1:26" x14ac:dyDescent="0.4">
      <c r="B145" s="170">
        <v>0</v>
      </c>
      <c r="C145" s="171">
        <v>0</v>
      </c>
      <c r="D145" s="171">
        <v>0</v>
      </c>
      <c r="E145" s="171">
        <v>0</v>
      </c>
      <c r="F145" s="171">
        <v>0</v>
      </c>
      <c r="G145" s="171">
        <v>0.01</v>
      </c>
      <c r="H145" s="171">
        <v>0.01</v>
      </c>
      <c r="I145" s="171">
        <v>0.01</v>
      </c>
      <c r="J145" s="171">
        <v>0</v>
      </c>
      <c r="K145" s="171">
        <v>0.01</v>
      </c>
      <c r="L145" s="87">
        <v>0</v>
      </c>
      <c r="M145" s="171">
        <v>0.01</v>
      </c>
      <c r="N145" s="87">
        <v>0</v>
      </c>
      <c r="O145" s="171">
        <v>0</v>
      </c>
      <c r="P145" s="171">
        <v>0</v>
      </c>
      <c r="Q145" s="171">
        <v>0.01</v>
      </c>
      <c r="R145" s="171">
        <v>0</v>
      </c>
      <c r="S145" s="171">
        <v>0</v>
      </c>
      <c r="T145" s="171">
        <v>0</v>
      </c>
      <c r="U145" s="171">
        <v>0.01</v>
      </c>
      <c r="V145" s="171">
        <v>0</v>
      </c>
      <c r="W145" s="180">
        <v>0</v>
      </c>
      <c r="X145" s="180">
        <v>0</v>
      </c>
      <c r="Y145" s="180">
        <v>0</v>
      </c>
      <c r="Z145" s="181">
        <v>0.01</v>
      </c>
    </row>
    <row r="146" spans="1:26" x14ac:dyDescent="0.4">
      <c r="A146" s="104" t="s">
        <v>193</v>
      </c>
      <c r="B146" s="169">
        <v>38</v>
      </c>
      <c r="C146" s="87">
        <v>28</v>
      </c>
      <c r="D146" s="87">
        <v>10</v>
      </c>
      <c r="E146" s="87">
        <v>1</v>
      </c>
      <c r="F146" s="87">
        <v>8</v>
      </c>
      <c r="G146" s="87">
        <v>10</v>
      </c>
      <c r="H146" s="87">
        <v>18</v>
      </c>
      <c r="I146" s="87">
        <v>4</v>
      </c>
      <c r="J146" s="87">
        <v>13</v>
      </c>
      <c r="K146" s="87">
        <v>22</v>
      </c>
      <c r="L146" s="87">
        <v>4</v>
      </c>
      <c r="M146" s="87">
        <v>23</v>
      </c>
      <c r="N146" s="87">
        <v>2</v>
      </c>
      <c r="O146" s="87">
        <v>9</v>
      </c>
      <c r="P146" s="87">
        <v>4</v>
      </c>
      <c r="Q146" s="87">
        <v>25</v>
      </c>
      <c r="R146" s="87">
        <v>9</v>
      </c>
      <c r="S146" s="87">
        <v>9</v>
      </c>
      <c r="T146" s="87">
        <v>6</v>
      </c>
      <c r="U146" s="87">
        <v>9</v>
      </c>
      <c r="V146" s="87">
        <v>14</v>
      </c>
      <c r="W146" s="102">
        <v>27</v>
      </c>
      <c r="X146" s="102">
        <v>7</v>
      </c>
      <c r="Y146" s="102">
        <v>7</v>
      </c>
      <c r="Z146" s="182">
        <v>30</v>
      </c>
    </row>
    <row r="147" spans="1:26" x14ac:dyDescent="0.4">
      <c r="B147" s="170">
        <v>0</v>
      </c>
      <c r="C147" s="171">
        <v>0</v>
      </c>
      <c r="D147" s="171">
        <v>0</v>
      </c>
      <c r="E147" s="171">
        <v>0</v>
      </c>
      <c r="F147" s="171">
        <v>0</v>
      </c>
      <c r="G147" s="171">
        <v>0</v>
      </c>
      <c r="H147" s="171">
        <v>0</v>
      </c>
      <c r="I147" s="171">
        <v>0</v>
      </c>
      <c r="J147" s="171">
        <v>0</v>
      </c>
      <c r="K147" s="171">
        <v>0</v>
      </c>
      <c r="L147" s="171">
        <v>0</v>
      </c>
      <c r="M147" s="171">
        <v>0</v>
      </c>
      <c r="N147" s="171">
        <v>0</v>
      </c>
      <c r="O147" s="171">
        <v>0</v>
      </c>
      <c r="P147" s="171">
        <v>0</v>
      </c>
      <c r="Q147" s="171">
        <v>0</v>
      </c>
      <c r="R147" s="171">
        <v>0</v>
      </c>
      <c r="S147" s="171">
        <v>0</v>
      </c>
      <c r="T147" s="171">
        <v>0</v>
      </c>
      <c r="U147" s="171">
        <v>0</v>
      </c>
      <c r="V147" s="171">
        <v>0</v>
      </c>
      <c r="W147" s="180">
        <v>0</v>
      </c>
      <c r="X147" s="180">
        <v>0</v>
      </c>
      <c r="Y147" s="180">
        <v>0</v>
      </c>
      <c r="Z147" s="181">
        <v>0</v>
      </c>
    </row>
    <row r="148" spans="1:26" x14ac:dyDescent="0.4">
      <c r="A148" s="104" t="s">
        <v>194</v>
      </c>
      <c r="B148" s="169">
        <v>17</v>
      </c>
      <c r="C148" s="87">
        <v>17</v>
      </c>
      <c r="D148" s="87">
        <v>0</v>
      </c>
      <c r="E148" s="87">
        <v>17</v>
      </c>
      <c r="F148" s="87">
        <v>0</v>
      </c>
      <c r="G148" s="87">
        <v>0</v>
      </c>
      <c r="H148" s="87">
        <v>0</v>
      </c>
      <c r="I148" s="87">
        <v>0</v>
      </c>
      <c r="J148" s="87">
        <v>17</v>
      </c>
      <c r="K148" s="87">
        <v>0</v>
      </c>
      <c r="L148" s="87">
        <v>0</v>
      </c>
      <c r="M148" s="87">
        <v>17</v>
      </c>
      <c r="N148" s="87">
        <v>0</v>
      </c>
      <c r="O148" s="87">
        <v>0</v>
      </c>
      <c r="P148" s="87">
        <v>0</v>
      </c>
      <c r="Q148" s="87">
        <v>17</v>
      </c>
      <c r="R148" s="87">
        <v>0</v>
      </c>
      <c r="S148" s="87">
        <v>17</v>
      </c>
      <c r="T148" s="87">
        <v>0</v>
      </c>
      <c r="U148" s="87">
        <v>0</v>
      </c>
      <c r="V148" s="87">
        <v>0</v>
      </c>
      <c r="W148" s="102">
        <v>17</v>
      </c>
      <c r="X148" s="102">
        <v>0</v>
      </c>
      <c r="Y148" s="102">
        <v>17</v>
      </c>
      <c r="Z148" s="182">
        <v>0</v>
      </c>
    </row>
    <row r="149" spans="1:26" x14ac:dyDescent="0.4">
      <c r="B149" s="170">
        <v>0</v>
      </c>
      <c r="C149" s="171">
        <v>0</v>
      </c>
      <c r="D149" s="87">
        <v>0</v>
      </c>
      <c r="E149" s="171">
        <v>0</v>
      </c>
      <c r="F149" s="87">
        <v>0</v>
      </c>
      <c r="G149" s="87">
        <v>0</v>
      </c>
      <c r="H149" s="87">
        <v>0</v>
      </c>
      <c r="I149" s="87">
        <v>0</v>
      </c>
      <c r="J149" s="171">
        <v>0</v>
      </c>
      <c r="K149" s="87">
        <v>0</v>
      </c>
      <c r="L149" s="87">
        <v>0</v>
      </c>
      <c r="M149" s="171">
        <v>0</v>
      </c>
      <c r="N149" s="87">
        <v>0</v>
      </c>
      <c r="O149" s="87">
        <v>0</v>
      </c>
      <c r="P149" s="87">
        <v>0</v>
      </c>
      <c r="Q149" s="171">
        <v>0</v>
      </c>
      <c r="R149" s="87">
        <v>0</v>
      </c>
      <c r="S149" s="171">
        <v>0</v>
      </c>
      <c r="T149" s="87">
        <v>0</v>
      </c>
      <c r="U149" s="87">
        <v>0</v>
      </c>
      <c r="V149" s="87">
        <v>0</v>
      </c>
      <c r="W149" s="180">
        <v>0</v>
      </c>
      <c r="X149" s="102">
        <v>0</v>
      </c>
      <c r="Y149" s="180">
        <v>0</v>
      </c>
      <c r="Z149" s="182">
        <v>0</v>
      </c>
    </row>
    <row r="150" spans="1:26" x14ac:dyDescent="0.4">
      <c r="A150" s="104" t="s">
        <v>195</v>
      </c>
      <c r="B150" s="169">
        <v>77</v>
      </c>
      <c r="C150" s="87">
        <v>24</v>
      </c>
      <c r="D150" s="87">
        <v>52</v>
      </c>
      <c r="E150" s="87">
        <v>4</v>
      </c>
      <c r="F150" s="87">
        <v>12</v>
      </c>
      <c r="G150" s="87">
        <v>20</v>
      </c>
      <c r="H150" s="87">
        <v>41</v>
      </c>
      <c r="I150" s="87">
        <v>22</v>
      </c>
      <c r="J150" s="87">
        <v>19</v>
      </c>
      <c r="K150" s="87">
        <v>37</v>
      </c>
      <c r="L150" s="87">
        <v>4</v>
      </c>
      <c r="M150" s="87">
        <v>51</v>
      </c>
      <c r="N150" s="87">
        <v>2</v>
      </c>
      <c r="O150" s="87">
        <v>20</v>
      </c>
      <c r="P150" s="87">
        <v>50</v>
      </c>
      <c r="Q150" s="87">
        <v>19</v>
      </c>
      <c r="R150" s="87">
        <v>8</v>
      </c>
      <c r="S150" s="87">
        <v>16</v>
      </c>
      <c r="T150" s="87">
        <v>29</v>
      </c>
      <c r="U150" s="87">
        <v>15</v>
      </c>
      <c r="V150" s="87">
        <v>18</v>
      </c>
      <c r="W150" s="102">
        <v>52</v>
      </c>
      <c r="X150" s="102">
        <v>23</v>
      </c>
      <c r="Y150" s="102">
        <v>29</v>
      </c>
      <c r="Z150" s="182">
        <v>46</v>
      </c>
    </row>
    <row r="151" spans="1:26" x14ac:dyDescent="0.4">
      <c r="B151" s="170">
        <v>0</v>
      </c>
      <c r="C151" s="171">
        <v>0</v>
      </c>
      <c r="D151" s="171">
        <v>0</v>
      </c>
      <c r="E151" s="171">
        <v>0</v>
      </c>
      <c r="F151" s="171">
        <v>0</v>
      </c>
      <c r="G151" s="171">
        <v>0</v>
      </c>
      <c r="H151" s="171">
        <v>0</v>
      </c>
      <c r="I151" s="171">
        <v>0.01</v>
      </c>
      <c r="J151" s="171">
        <v>0</v>
      </c>
      <c r="K151" s="171">
        <v>0</v>
      </c>
      <c r="L151" s="171">
        <v>0</v>
      </c>
      <c r="M151" s="171">
        <v>0</v>
      </c>
      <c r="N151" s="171">
        <v>0</v>
      </c>
      <c r="O151" s="171">
        <v>0</v>
      </c>
      <c r="P151" s="171">
        <v>0</v>
      </c>
      <c r="Q151" s="171">
        <v>0</v>
      </c>
      <c r="R151" s="171">
        <v>0</v>
      </c>
      <c r="S151" s="171">
        <v>0</v>
      </c>
      <c r="T151" s="171">
        <v>0</v>
      </c>
      <c r="U151" s="171">
        <v>0</v>
      </c>
      <c r="V151" s="171">
        <v>0</v>
      </c>
      <c r="W151" s="180">
        <v>0</v>
      </c>
      <c r="X151" s="180">
        <v>0</v>
      </c>
      <c r="Y151" s="180">
        <v>0</v>
      </c>
      <c r="Z151" s="181">
        <v>0</v>
      </c>
    </row>
    <row r="152" spans="1:26" x14ac:dyDescent="0.4">
      <c r="A152" s="104" t="s">
        <v>196</v>
      </c>
      <c r="B152" s="169">
        <v>380</v>
      </c>
      <c r="C152" s="87">
        <v>166</v>
      </c>
      <c r="D152" s="87">
        <v>214</v>
      </c>
      <c r="E152" s="87">
        <v>70</v>
      </c>
      <c r="F152" s="87">
        <v>76</v>
      </c>
      <c r="G152" s="87">
        <v>108</v>
      </c>
      <c r="H152" s="87">
        <v>125</v>
      </c>
      <c r="I152" s="87">
        <v>76</v>
      </c>
      <c r="J152" s="87">
        <v>95</v>
      </c>
      <c r="K152" s="87">
        <v>209</v>
      </c>
      <c r="L152" s="87">
        <v>46</v>
      </c>
      <c r="M152" s="87">
        <v>258</v>
      </c>
      <c r="N152" s="87">
        <v>16</v>
      </c>
      <c r="O152" s="87">
        <v>60</v>
      </c>
      <c r="P152" s="87">
        <v>281</v>
      </c>
      <c r="Q152" s="87">
        <v>75</v>
      </c>
      <c r="R152" s="87">
        <v>23</v>
      </c>
      <c r="S152" s="87">
        <v>77</v>
      </c>
      <c r="T152" s="87">
        <v>128</v>
      </c>
      <c r="U152" s="87">
        <v>89</v>
      </c>
      <c r="V152" s="87">
        <v>85</v>
      </c>
      <c r="W152" s="102">
        <v>252</v>
      </c>
      <c r="X152" s="102">
        <v>106</v>
      </c>
      <c r="Y152" s="102">
        <v>112</v>
      </c>
      <c r="Z152" s="182">
        <v>239</v>
      </c>
    </row>
    <row r="153" spans="1:26" x14ac:dyDescent="0.4">
      <c r="B153" s="170">
        <v>0.01</v>
      </c>
      <c r="C153" s="171">
        <v>0.01</v>
      </c>
      <c r="D153" s="171">
        <v>0.02</v>
      </c>
      <c r="E153" s="171">
        <v>0.02</v>
      </c>
      <c r="F153" s="171">
        <v>0.01</v>
      </c>
      <c r="G153" s="171">
        <v>0.01</v>
      </c>
      <c r="H153" s="171">
        <v>0.02</v>
      </c>
      <c r="I153" s="171">
        <v>0.02</v>
      </c>
      <c r="J153" s="171">
        <v>0.01</v>
      </c>
      <c r="K153" s="171">
        <v>0.01</v>
      </c>
      <c r="L153" s="171">
        <v>0.02</v>
      </c>
      <c r="M153" s="171">
        <v>0.02</v>
      </c>
      <c r="N153" s="171">
        <v>0.01</v>
      </c>
      <c r="O153" s="171">
        <v>0.01</v>
      </c>
      <c r="P153" s="171">
        <v>0.03</v>
      </c>
      <c r="Q153" s="171">
        <v>0.01</v>
      </c>
      <c r="R153" s="171">
        <v>0</v>
      </c>
      <c r="S153" s="171">
        <v>0.01</v>
      </c>
      <c r="T153" s="171">
        <v>0.01</v>
      </c>
      <c r="U153" s="171">
        <v>0.02</v>
      </c>
      <c r="V153" s="171">
        <v>0.01</v>
      </c>
      <c r="W153" s="180">
        <v>0.01</v>
      </c>
      <c r="X153" s="180">
        <v>0.01</v>
      </c>
      <c r="Y153" s="180">
        <v>0.01</v>
      </c>
      <c r="Z153" s="181">
        <v>0.02</v>
      </c>
    </row>
    <row r="154" spans="1:26" x14ac:dyDescent="0.4">
      <c r="A154" s="104" t="s">
        <v>197</v>
      </c>
      <c r="B154" s="169">
        <v>141</v>
      </c>
      <c r="C154" s="87">
        <v>59</v>
      </c>
      <c r="D154" s="87">
        <v>81</v>
      </c>
      <c r="E154" s="87">
        <v>4</v>
      </c>
      <c r="F154" s="87">
        <v>28</v>
      </c>
      <c r="G154" s="87">
        <v>33</v>
      </c>
      <c r="H154" s="87">
        <v>77</v>
      </c>
      <c r="I154" s="87">
        <v>37</v>
      </c>
      <c r="J154" s="87">
        <v>40</v>
      </c>
      <c r="K154" s="87">
        <v>65</v>
      </c>
      <c r="L154" s="87">
        <v>7</v>
      </c>
      <c r="M154" s="87">
        <v>77</v>
      </c>
      <c r="N154" s="87">
        <v>7</v>
      </c>
      <c r="O154" s="87">
        <v>50</v>
      </c>
      <c r="P154" s="87">
        <v>59</v>
      </c>
      <c r="Q154" s="87">
        <v>44</v>
      </c>
      <c r="R154" s="87">
        <v>38</v>
      </c>
      <c r="S154" s="87">
        <v>45</v>
      </c>
      <c r="T154" s="87">
        <v>45</v>
      </c>
      <c r="U154" s="87">
        <v>18</v>
      </c>
      <c r="V154" s="87">
        <v>33</v>
      </c>
      <c r="W154" s="102">
        <v>87</v>
      </c>
      <c r="X154" s="102">
        <v>43</v>
      </c>
      <c r="Y154" s="102">
        <v>48</v>
      </c>
      <c r="Z154" s="182">
        <v>77</v>
      </c>
    </row>
    <row r="155" spans="1:26" x14ac:dyDescent="0.4">
      <c r="B155" s="170">
        <v>0.01</v>
      </c>
      <c r="C155" s="171">
        <v>0</v>
      </c>
      <c r="D155" s="171">
        <v>0.01</v>
      </c>
      <c r="E155" s="171">
        <v>0</v>
      </c>
      <c r="F155" s="171">
        <v>0</v>
      </c>
      <c r="G155" s="171">
        <v>0</v>
      </c>
      <c r="H155" s="171">
        <v>0.01</v>
      </c>
      <c r="I155" s="171">
        <v>0.01</v>
      </c>
      <c r="J155" s="171">
        <v>0</v>
      </c>
      <c r="K155" s="171">
        <v>0</v>
      </c>
      <c r="L155" s="171">
        <v>0</v>
      </c>
      <c r="M155" s="171">
        <v>0.01</v>
      </c>
      <c r="N155" s="171">
        <v>0</v>
      </c>
      <c r="O155" s="171">
        <v>0.01</v>
      </c>
      <c r="P155" s="171">
        <v>0.01</v>
      </c>
      <c r="Q155" s="171">
        <v>0</v>
      </c>
      <c r="R155" s="171">
        <v>0.01</v>
      </c>
      <c r="S155" s="171">
        <v>0.01</v>
      </c>
      <c r="T155" s="171">
        <v>0</v>
      </c>
      <c r="U155" s="171">
        <v>0</v>
      </c>
      <c r="V155" s="171">
        <v>0.01</v>
      </c>
      <c r="W155" s="180">
        <v>0</v>
      </c>
      <c r="X155" s="180">
        <v>0.01</v>
      </c>
      <c r="Y155" s="180">
        <v>0</v>
      </c>
      <c r="Z155" s="181">
        <v>0.01</v>
      </c>
    </row>
    <row r="156" spans="1:26" x14ac:dyDescent="0.4">
      <c r="A156" s="104" t="s">
        <v>198</v>
      </c>
      <c r="B156" s="169">
        <v>121</v>
      </c>
      <c r="C156" s="87">
        <v>65</v>
      </c>
      <c r="D156" s="87">
        <v>54</v>
      </c>
      <c r="E156" s="87">
        <v>16</v>
      </c>
      <c r="F156" s="87">
        <v>28</v>
      </c>
      <c r="G156" s="87">
        <v>38</v>
      </c>
      <c r="H156" s="87">
        <v>39</v>
      </c>
      <c r="I156" s="87">
        <v>49</v>
      </c>
      <c r="J156" s="87">
        <v>15</v>
      </c>
      <c r="K156" s="87">
        <v>57</v>
      </c>
      <c r="L156" s="87">
        <v>2</v>
      </c>
      <c r="M156" s="87">
        <v>76</v>
      </c>
      <c r="N156" s="87">
        <v>12</v>
      </c>
      <c r="O156" s="87">
        <v>26</v>
      </c>
      <c r="P156" s="87">
        <v>12</v>
      </c>
      <c r="Q156" s="87">
        <v>75</v>
      </c>
      <c r="R156" s="87">
        <v>33</v>
      </c>
      <c r="S156" s="87">
        <v>27</v>
      </c>
      <c r="T156" s="87">
        <v>20</v>
      </c>
      <c r="U156" s="87">
        <v>40</v>
      </c>
      <c r="V156" s="87">
        <v>33</v>
      </c>
      <c r="W156" s="102">
        <v>79</v>
      </c>
      <c r="X156" s="102">
        <v>37</v>
      </c>
      <c r="Y156" s="102">
        <v>29</v>
      </c>
      <c r="Z156" s="182">
        <v>69</v>
      </c>
    </row>
    <row r="157" spans="1:26" x14ac:dyDescent="0.4">
      <c r="B157" s="170">
        <v>0</v>
      </c>
      <c r="C157" s="171">
        <v>0</v>
      </c>
      <c r="D157" s="171">
        <v>0</v>
      </c>
      <c r="E157" s="171">
        <v>0</v>
      </c>
      <c r="F157" s="171">
        <v>0</v>
      </c>
      <c r="G157" s="171">
        <v>0</v>
      </c>
      <c r="H157" s="171">
        <v>0</v>
      </c>
      <c r="I157" s="171">
        <v>0.01</v>
      </c>
      <c r="J157" s="171">
        <v>0</v>
      </c>
      <c r="K157" s="171">
        <v>0</v>
      </c>
      <c r="L157" s="171">
        <v>0</v>
      </c>
      <c r="M157" s="171">
        <v>0.01</v>
      </c>
      <c r="N157" s="171">
        <v>0</v>
      </c>
      <c r="O157" s="171">
        <v>0</v>
      </c>
      <c r="P157" s="171">
        <v>0</v>
      </c>
      <c r="Q157" s="171">
        <v>0.01</v>
      </c>
      <c r="R157" s="171">
        <v>0.01</v>
      </c>
      <c r="S157" s="171">
        <v>0</v>
      </c>
      <c r="T157" s="171">
        <v>0</v>
      </c>
      <c r="U157" s="171">
        <v>0.01</v>
      </c>
      <c r="V157" s="171">
        <v>0.01</v>
      </c>
      <c r="W157" s="180">
        <v>0</v>
      </c>
      <c r="X157" s="180">
        <v>0</v>
      </c>
      <c r="Y157" s="180">
        <v>0</v>
      </c>
      <c r="Z157" s="181">
        <v>0</v>
      </c>
    </row>
    <row r="158" spans="1:26" x14ac:dyDescent="0.4">
      <c r="A158" s="104" t="s">
        <v>199</v>
      </c>
      <c r="B158" s="169">
        <v>62</v>
      </c>
      <c r="C158" s="87">
        <v>22</v>
      </c>
      <c r="D158" s="87">
        <v>38</v>
      </c>
      <c r="E158" s="87">
        <v>12</v>
      </c>
      <c r="F158" s="87">
        <v>9</v>
      </c>
      <c r="G158" s="87">
        <v>19</v>
      </c>
      <c r="H158" s="87">
        <v>23</v>
      </c>
      <c r="I158" s="87">
        <v>22</v>
      </c>
      <c r="J158" s="87">
        <v>14</v>
      </c>
      <c r="K158" s="87">
        <v>26</v>
      </c>
      <c r="L158" s="87">
        <v>12</v>
      </c>
      <c r="M158" s="87">
        <v>33</v>
      </c>
      <c r="N158" s="87">
        <v>9</v>
      </c>
      <c r="O158" s="87">
        <v>7</v>
      </c>
      <c r="P158" s="87">
        <v>13</v>
      </c>
      <c r="Q158" s="87">
        <v>19</v>
      </c>
      <c r="R158" s="87">
        <v>29</v>
      </c>
      <c r="S158" s="87">
        <v>19</v>
      </c>
      <c r="T158" s="87">
        <v>13</v>
      </c>
      <c r="U158" s="87">
        <v>12</v>
      </c>
      <c r="V158" s="87">
        <v>18</v>
      </c>
      <c r="W158" s="102">
        <v>36</v>
      </c>
      <c r="X158" s="102">
        <v>22</v>
      </c>
      <c r="Y158" s="102">
        <v>31</v>
      </c>
      <c r="Z158" s="182">
        <v>26</v>
      </c>
    </row>
    <row r="159" spans="1:26" x14ac:dyDescent="0.4">
      <c r="B159" s="170">
        <v>0</v>
      </c>
      <c r="C159" s="171">
        <v>0</v>
      </c>
      <c r="D159" s="171">
        <v>0</v>
      </c>
      <c r="E159" s="171">
        <v>0</v>
      </c>
      <c r="F159" s="171">
        <v>0</v>
      </c>
      <c r="G159" s="171">
        <v>0</v>
      </c>
      <c r="H159" s="171">
        <v>0</v>
      </c>
      <c r="I159" s="171">
        <v>0.01</v>
      </c>
      <c r="J159" s="171">
        <v>0</v>
      </c>
      <c r="K159" s="171">
        <v>0</v>
      </c>
      <c r="L159" s="171">
        <v>0</v>
      </c>
      <c r="M159" s="171">
        <v>0</v>
      </c>
      <c r="N159" s="171">
        <v>0</v>
      </c>
      <c r="O159" s="171">
        <v>0</v>
      </c>
      <c r="P159" s="171">
        <v>0</v>
      </c>
      <c r="Q159" s="171">
        <v>0</v>
      </c>
      <c r="R159" s="171">
        <v>0</v>
      </c>
      <c r="S159" s="171">
        <v>0</v>
      </c>
      <c r="T159" s="171">
        <v>0</v>
      </c>
      <c r="U159" s="171">
        <v>0</v>
      </c>
      <c r="V159" s="171">
        <v>0</v>
      </c>
      <c r="W159" s="180">
        <v>0</v>
      </c>
      <c r="X159" s="180">
        <v>0</v>
      </c>
      <c r="Y159" s="180">
        <v>0</v>
      </c>
      <c r="Z159" s="181">
        <v>0</v>
      </c>
    </row>
    <row r="160" spans="1:26" x14ac:dyDescent="0.4">
      <c r="A160" s="104" t="s">
        <v>200</v>
      </c>
      <c r="B160" s="169">
        <v>437</v>
      </c>
      <c r="C160" s="87">
        <v>228</v>
      </c>
      <c r="D160" s="87">
        <v>208</v>
      </c>
      <c r="E160" s="87">
        <v>28</v>
      </c>
      <c r="F160" s="87">
        <v>105</v>
      </c>
      <c r="G160" s="87">
        <v>113</v>
      </c>
      <c r="H160" s="87">
        <v>191</v>
      </c>
      <c r="I160" s="87">
        <v>152</v>
      </c>
      <c r="J160" s="87">
        <v>139</v>
      </c>
      <c r="K160" s="87">
        <v>147</v>
      </c>
      <c r="L160" s="87">
        <v>44</v>
      </c>
      <c r="M160" s="87">
        <v>253</v>
      </c>
      <c r="N160" s="87">
        <v>19</v>
      </c>
      <c r="O160" s="87">
        <v>114</v>
      </c>
      <c r="P160" s="87">
        <v>220</v>
      </c>
      <c r="Q160" s="87">
        <v>138</v>
      </c>
      <c r="R160" s="87">
        <v>79</v>
      </c>
      <c r="S160" s="87">
        <v>84</v>
      </c>
      <c r="T160" s="87">
        <v>142</v>
      </c>
      <c r="U160" s="87">
        <v>93</v>
      </c>
      <c r="V160" s="87">
        <v>119</v>
      </c>
      <c r="W160" s="102">
        <v>229</v>
      </c>
      <c r="X160" s="102">
        <v>177</v>
      </c>
      <c r="Y160" s="102">
        <v>111</v>
      </c>
      <c r="Z160" s="182">
        <v>281</v>
      </c>
    </row>
    <row r="161" spans="1:26" x14ac:dyDescent="0.4">
      <c r="B161" s="170">
        <v>0.02</v>
      </c>
      <c r="C161" s="171">
        <v>0.02</v>
      </c>
      <c r="D161" s="171">
        <v>0.02</v>
      </c>
      <c r="E161" s="171">
        <v>0.01</v>
      </c>
      <c r="F161" s="171">
        <v>0.01</v>
      </c>
      <c r="G161" s="171">
        <v>0.01</v>
      </c>
      <c r="H161" s="171">
        <v>0.02</v>
      </c>
      <c r="I161" s="171">
        <v>0.04</v>
      </c>
      <c r="J161" s="171">
        <v>0.02</v>
      </c>
      <c r="K161" s="171">
        <v>0.01</v>
      </c>
      <c r="L161" s="171">
        <v>0.01</v>
      </c>
      <c r="M161" s="171">
        <v>0.02</v>
      </c>
      <c r="N161" s="171">
        <v>0.01</v>
      </c>
      <c r="O161" s="171">
        <v>0.02</v>
      </c>
      <c r="P161" s="171">
        <v>0.02</v>
      </c>
      <c r="Q161" s="171">
        <v>0.01</v>
      </c>
      <c r="R161" s="171">
        <v>0.01</v>
      </c>
      <c r="S161" s="171">
        <v>0.01</v>
      </c>
      <c r="T161" s="171">
        <v>0.01</v>
      </c>
      <c r="U161" s="171">
        <v>0.02</v>
      </c>
      <c r="V161" s="171">
        <v>0.02</v>
      </c>
      <c r="W161" s="180">
        <v>0.01</v>
      </c>
      <c r="X161" s="180">
        <v>0.02</v>
      </c>
      <c r="Y161" s="180">
        <v>0.01</v>
      </c>
      <c r="Z161" s="181">
        <v>0.02</v>
      </c>
    </row>
    <row r="162" spans="1:26" x14ac:dyDescent="0.4">
      <c r="A162" s="104" t="s">
        <v>201</v>
      </c>
      <c r="B162" s="169">
        <v>298</v>
      </c>
      <c r="C162" s="87">
        <v>177</v>
      </c>
      <c r="D162" s="87">
        <v>120</v>
      </c>
      <c r="E162" s="87">
        <v>28</v>
      </c>
      <c r="F162" s="87">
        <v>75</v>
      </c>
      <c r="G162" s="87">
        <v>77</v>
      </c>
      <c r="H162" s="87">
        <v>118</v>
      </c>
      <c r="I162" s="87">
        <v>100</v>
      </c>
      <c r="J162" s="87">
        <v>74</v>
      </c>
      <c r="K162" s="87">
        <v>124</v>
      </c>
      <c r="L162" s="87">
        <v>28</v>
      </c>
      <c r="M162" s="87">
        <v>164</v>
      </c>
      <c r="N162" s="87">
        <v>3</v>
      </c>
      <c r="O162" s="87">
        <v>96</v>
      </c>
      <c r="P162" s="87">
        <v>125</v>
      </c>
      <c r="Q162" s="87">
        <v>113</v>
      </c>
      <c r="R162" s="87">
        <v>61</v>
      </c>
      <c r="S162" s="87">
        <v>58</v>
      </c>
      <c r="T162" s="87">
        <v>129</v>
      </c>
      <c r="U162" s="87">
        <v>47</v>
      </c>
      <c r="V162" s="87">
        <v>65</v>
      </c>
      <c r="W162" s="102">
        <v>174</v>
      </c>
      <c r="X162" s="102">
        <v>109</v>
      </c>
      <c r="Y162" s="102">
        <v>95</v>
      </c>
      <c r="Z162" s="182">
        <v>197</v>
      </c>
    </row>
    <row r="163" spans="1:26" x14ac:dyDescent="0.4">
      <c r="B163" s="170">
        <v>0.01</v>
      </c>
      <c r="C163" s="171">
        <v>0.01</v>
      </c>
      <c r="D163" s="171">
        <v>0.01</v>
      </c>
      <c r="E163" s="171">
        <v>0.01</v>
      </c>
      <c r="F163" s="171">
        <v>0.01</v>
      </c>
      <c r="G163" s="171">
        <v>0.01</v>
      </c>
      <c r="H163" s="171">
        <v>0.01</v>
      </c>
      <c r="I163" s="171">
        <v>0.03</v>
      </c>
      <c r="J163" s="171">
        <v>0.01</v>
      </c>
      <c r="K163" s="171">
        <v>0.01</v>
      </c>
      <c r="L163" s="171">
        <v>0.01</v>
      </c>
      <c r="M163" s="171">
        <v>0.01</v>
      </c>
      <c r="N163" s="171">
        <v>0</v>
      </c>
      <c r="O163" s="171">
        <v>0.01</v>
      </c>
      <c r="P163" s="171">
        <v>0.01</v>
      </c>
      <c r="Q163" s="171">
        <v>0.01</v>
      </c>
      <c r="R163" s="171">
        <v>0.01</v>
      </c>
      <c r="S163" s="171">
        <v>0.01</v>
      </c>
      <c r="T163" s="171">
        <v>0.01</v>
      </c>
      <c r="U163" s="171">
        <v>0.01</v>
      </c>
      <c r="V163" s="171">
        <v>0.01</v>
      </c>
      <c r="W163" s="180">
        <v>0.01</v>
      </c>
      <c r="X163" s="180">
        <v>0.01</v>
      </c>
      <c r="Y163" s="180">
        <v>0.01</v>
      </c>
      <c r="Z163" s="181">
        <v>0.01</v>
      </c>
    </row>
    <row r="164" spans="1:26" x14ac:dyDescent="0.4">
      <c r="A164" s="104" t="s">
        <v>202</v>
      </c>
      <c r="B164" s="169">
        <v>65</v>
      </c>
      <c r="C164" s="87">
        <v>34</v>
      </c>
      <c r="D164" s="87">
        <v>32</v>
      </c>
      <c r="E164" s="87">
        <v>10</v>
      </c>
      <c r="F164" s="87">
        <v>18</v>
      </c>
      <c r="G164" s="87">
        <v>29</v>
      </c>
      <c r="H164" s="87">
        <v>8</v>
      </c>
      <c r="I164" s="87">
        <v>7</v>
      </c>
      <c r="J164" s="87">
        <v>41</v>
      </c>
      <c r="K164" s="87">
        <v>18</v>
      </c>
      <c r="L164" s="87">
        <v>15</v>
      </c>
      <c r="M164" s="87">
        <v>43</v>
      </c>
      <c r="N164" s="87">
        <v>0</v>
      </c>
      <c r="O164" s="87">
        <v>7</v>
      </c>
      <c r="P164" s="87">
        <v>33</v>
      </c>
      <c r="Q164" s="87">
        <v>19</v>
      </c>
      <c r="R164" s="87">
        <v>13</v>
      </c>
      <c r="S164" s="87">
        <v>31</v>
      </c>
      <c r="T164" s="87">
        <v>24</v>
      </c>
      <c r="U164" s="87">
        <v>4</v>
      </c>
      <c r="V164" s="87">
        <v>6</v>
      </c>
      <c r="W164" s="102">
        <v>43</v>
      </c>
      <c r="X164" s="102">
        <v>19</v>
      </c>
      <c r="Y164" s="102">
        <v>26</v>
      </c>
      <c r="Z164" s="182">
        <v>40</v>
      </c>
    </row>
    <row r="165" spans="1:26" x14ac:dyDescent="0.4">
      <c r="B165" s="170">
        <v>0</v>
      </c>
      <c r="C165" s="171">
        <v>0</v>
      </c>
      <c r="D165" s="171">
        <v>0</v>
      </c>
      <c r="E165" s="171">
        <v>0</v>
      </c>
      <c r="F165" s="171">
        <v>0</v>
      </c>
      <c r="G165" s="171">
        <v>0</v>
      </c>
      <c r="H165" s="171">
        <v>0</v>
      </c>
      <c r="I165" s="171">
        <v>0</v>
      </c>
      <c r="J165" s="171">
        <v>0</v>
      </c>
      <c r="K165" s="171">
        <v>0</v>
      </c>
      <c r="L165" s="171">
        <v>0</v>
      </c>
      <c r="M165" s="171">
        <v>0</v>
      </c>
      <c r="N165" s="87">
        <v>0</v>
      </c>
      <c r="O165" s="171">
        <v>0</v>
      </c>
      <c r="P165" s="171">
        <v>0</v>
      </c>
      <c r="Q165" s="171">
        <v>0</v>
      </c>
      <c r="R165" s="171">
        <v>0</v>
      </c>
      <c r="S165" s="171">
        <v>0</v>
      </c>
      <c r="T165" s="171">
        <v>0</v>
      </c>
      <c r="U165" s="171">
        <v>0</v>
      </c>
      <c r="V165" s="171">
        <v>0</v>
      </c>
      <c r="W165" s="180">
        <v>0</v>
      </c>
      <c r="X165" s="180">
        <v>0</v>
      </c>
      <c r="Y165" s="180">
        <v>0</v>
      </c>
      <c r="Z165" s="181">
        <v>0</v>
      </c>
    </row>
    <row r="166" spans="1:26" x14ac:dyDescent="0.4">
      <c r="A166" s="104" t="s">
        <v>203</v>
      </c>
      <c r="B166" s="169">
        <v>483</v>
      </c>
      <c r="C166" s="87">
        <v>255</v>
      </c>
      <c r="D166" s="87">
        <v>226</v>
      </c>
      <c r="E166" s="87">
        <v>64</v>
      </c>
      <c r="F166" s="87">
        <v>104</v>
      </c>
      <c r="G166" s="87">
        <v>161</v>
      </c>
      <c r="H166" s="87">
        <v>153</v>
      </c>
      <c r="I166" s="87">
        <v>139</v>
      </c>
      <c r="J166" s="87">
        <v>160</v>
      </c>
      <c r="K166" s="87">
        <v>184</v>
      </c>
      <c r="L166" s="87">
        <v>33</v>
      </c>
      <c r="M166" s="87">
        <v>288</v>
      </c>
      <c r="N166" s="87">
        <v>27</v>
      </c>
      <c r="O166" s="87">
        <v>135</v>
      </c>
      <c r="P166" s="87">
        <v>211</v>
      </c>
      <c r="Q166" s="87">
        <v>176</v>
      </c>
      <c r="R166" s="87">
        <v>96</v>
      </c>
      <c r="S166" s="87">
        <v>91</v>
      </c>
      <c r="T166" s="87">
        <v>155</v>
      </c>
      <c r="U166" s="87">
        <v>102</v>
      </c>
      <c r="V166" s="87">
        <v>135</v>
      </c>
      <c r="W166" s="102">
        <v>311</v>
      </c>
      <c r="X166" s="102">
        <v>146</v>
      </c>
      <c r="Y166" s="102">
        <v>136</v>
      </c>
      <c r="Z166" s="182">
        <v>301</v>
      </c>
    </row>
    <row r="167" spans="1:26" x14ac:dyDescent="0.4">
      <c r="B167" s="170">
        <v>0.02</v>
      </c>
      <c r="C167" s="171">
        <v>0.02</v>
      </c>
      <c r="D167" s="171">
        <v>0.02</v>
      </c>
      <c r="E167" s="171">
        <v>0.02</v>
      </c>
      <c r="F167" s="171">
        <v>0.01</v>
      </c>
      <c r="G167" s="171">
        <v>0.02</v>
      </c>
      <c r="H167" s="171">
        <v>0.02</v>
      </c>
      <c r="I167" s="171">
        <v>0.04</v>
      </c>
      <c r="J167" s="171">
        <v>0.02</v>
      </c>
      <c r="K167" s="171">
        <v>0.01</v>
      </c>
      <c r="L167" s="171">
        <v>0.01</v>
      </c>
      <c r="M167" s="171">
        <v>0.02</v>
      </c>
      <c r="N167" s="171">
        <v>0.01</v>
      </c>
      <c r="O167" s="171">
        <v>0.02</v>
      </c>
      <c r="P167" s="171">
        <v>0.02</v>
      </c>
      <c r="Q167" s="171">
        <v>0.02</v>
      </c>
      <c r="R167" s="171">
        <v>0.01</v>
      </c>
      <c r="S167" s="171">
        <v>0.01</v>
      </c>
      <c r="T167" s="171">
        <v>0.02</v>
      </c>
      <c r="U167" s="171">
        <v>0.02</v>
      </c>
      <c r="V167" s="171">
        <v>0.02</v>
      </c>
      <c r="W167" s="180">
        <v>0.02</v>
      </c>
      <c r="X167" s="180">
        <v>0.02</v>
      </c>
      <c r="Y167" s="180">
        <v>0.01</v>
      </c>
      <c r="Z167" s="181">
        <v>0.02</v>
      </c>
    </row>
    <row r="168" spans="1:26" x14ac:dyDescent="0.4">
      <c r="A168" s="104" t="s">
        <v>204</v>
      </c>
      <c r="B168" s="169">
        <v>84</v>
      </c>
      <c r="C168" s="87">
        <v>35</v>
      </c>
      <c r="D168" s="87">
        <v>49</v>
      </c>
      <c r="E168" s="87">
        <v>8</v>
      </c>
      <c r="F168" s="87">
        <v>31</v>
      </c>
      <c r="G168" s="87">
        <v>29</v>
      </c>
      <c r="H168" s="87">
        <v>16</v>
      </c>
      <c r="I168" s="87">
        <v>39</v>
      </c>
      <c r="J168" s="87">
        <v>20</v>
      </c>
      <c r="K168" s="87">
        <v>25</v>
      </c>
      <c r="L168" s="87">
        <v>0</v>
      </c>
      <c r="M168" s="87">
        <v>59</v>
      </c>
      <c r="N168" s="87">
        <v>9</v>
      </c>
      <c r="O168" s="87">
        <v>13</v>
      </c>
      <c r="P168" s="87">
        <v>35</v>
      </c>
      <c r="Q168" s="87">
        <v>28</v>
      </c>
      <c r="R168" s="87">
        <v>21</v>
      </c>
      <c r="S168" s="87">
        <v>22</v>
      </c>
      <c r="T168" s="87">
        <v>22</v>
      </c>
      <c r="U168" s="87">
        <v>22</v>
      </c>
      <c r="V168" s="87">
        <v>18</v>
      </c>
      <c r="W168" s="102">
        <v>58</v>
      </c>
      <c r="X168" s="102">
        <v>21</v>
      </c>
      <c r="Y168" s="102">
        <v>43</v>
      </c>
      <c r="Z168" s="182">
        <v>38</v>
      </c>
    </row>
    <row r="169" spans="1:26" x14ac:dyDescent="0.4">
      <c r="B169" s="170">
        <v>0</v>
      </c>
      <c r="C169" s="171">
        <v>0</v>
      </c>
      <c r="D169" s="171">
        <v>0</v>
      </c>
      <c r="E169" s="171">
        <v>0</v>
      </c>
      <c r="F169" s="171">
        <v>0</v>
      </c>
      <c r="G169" s="171">
        <v>0</v>
      </c>
      <c r="H169" s="171">
        <v>0</v>
      </c>
      <c r="I169" s="171">
        <v>0.01</v>
      </c>
      <c r="J169" s="171">
        <v>0</v>
      </c>
      <c r="K169" s="171">
        <v>0</v>
      </c>
      <c r="L169" s="87">
        <v>0</v>
      </c>
      <c r="M169" s="171">
        <v>0</v>
      </c>
      <c r="N169" s="171">
        <v>0</v>
      </c>
      <c r="O169" s="171">
        <v>0</v>
      </c>
      <c r="P169" s="171">
        <v>0</v>
      </c>
      <c r="Q169" s="171">
        <v>0</v>
      </c>
      <c r="R169" s="171">
        <v>0</v>
      </c>
      <c r="S169" s="171">
        <v>0</v>
      </c>
      <c r="T169" s="171">
        <v>0</v>
      </c>
      <c r="U169" s="171">
        <v>0</v>
      </c>
      <c r="V169" s="171">
        <v>0</v>
      </c>
      <c r="W169" s="180">
        <v>0</v>
      </c>
      <c r="X169" s="180">
        <v>0</v>
      </c>
      <c r="Y169" s="180">
        <v>0</v>
      </c>
      <c r="Z169" s="181">
        <v>0</v>
      </c>
    </row>
    <row r="170" spans="1:26" x14ac:dyDescent="0.4">
      <c r="A170" s="104" t="s">
        <v>205</v>
      </c>
      <c r="B170" s="169">
        <v>4</v>
      </c>
      <c r="C170" s="87">
        <v>4</v>
      </c>
      <c r="D170" s="87">
        <v>0</v>
      </c>
      <c r="E170" s="87">
        <v>4</v>
      </c>
      <c r="F170" s="87">
        <v>0</v>
      </c>
      <c r="G170" s="87">
        <v>0</v>
      </c>
      <c r="H170" s="87">
        <v>0</v>
      </c>
      <c r="I170" s="87">
        <v>0</v>
      </c>
      <c r="J170" s="87">
        <v>4</v>
      </c>
      <c r="K170" s="87">
        <v>0</v>
      </c>
      <c r="L170" s="87">
        <v>0</v>
      </c>
      <c r="M170" s="87">
        <v>0</v>
      </c>
      <c r="N170" s="87">
        <v>4</v>
      </c>
      <c r="O170" s="87">
        <v>0</v>
      </c>
      <c r="P170" s="87">
        <v>0</v>
      </c>
      <c r="Q170" s="87">
        <v>4</v>
      </c>
      <c r="R170" s="87">
        <v>0</v>
      </c>
      <c r="S170" s="87">
        <v>0</v>
      </c>
      <c r="T170" s="87">
        <v>0</v>
      </c>
      <c r="U170" s="87">
        <v>0</v>
      </c>
      <c r="V170" s="87">
        <v>4</v>
      </c>
      <c r="W170" s="102">
        <v>4</v>
      </c>
      <c r="X170" s="102">
        <v>0</v>
      </c>
      <c r="Y170" s="102">
        <v>4</v>
      </c>
      <c r="Z170" s="182">
        <v>0</v>
      </c>
    </row>
    <row r="171" spans="1:26" x14ac:dyDescent="0.4">
      <c r="B171" s="170">
        <v>0</v>
      </c>
      <c r="C171" s="171">
        <v>0</v>
      </c>
      <c r="D171" s="87">
        <v>0</v>
      </c>
      <c r="E171" s="171">
        <v>0</v>
      </c>
      <c r="F171" s="87">
        <v>0</v>
      </c>
      <c r="G171" s="87">
        <v>0</v>
      </c>
      <c r="H171" s="87">
        <v>0</v>
      </c>
      <c r="I171" s="87">
        <v>0</v>
      </c>
      <c r="J171" s="171">
        <v>0</v>
      </c>
      <c r="K171" s="87">
        <v>0</v>
      </c>
      <c r="L171" s="87">
        <v>0</v>
      </c>
      <c r="M171" s="87">
        <v>0</v>
      </c>
      <c r="N171" s="171">
        <v>0</v>
      </c>
      <c r="O171" s="87">
        <v>0</v>
      </c>
      <c r="P171" s="87">
        <v>0</v>
      </c>
      <c r="Q171" s="171">
        <v>0</v>
      </c>
      <c r="R171" s="87">
        <v>0</v>
      </c>
      <c r="S171" s="87">
        <v>0</v>
      </c>
      <c r="T171" s="87">
        <v>0</v>
      </c>
      <c r="U171" s="87">
        <v>0</v>
      </c>
      <c r="V171" s="171">
        <v>0</v>
      </c>
      <c r="W171" s="180">
        <v>0</v>
      </c>
      <c r="X171" s="102">
        <v>0</v>
      </c>
      <c r="Y171" s="180">
        <v>0</v>
      </c>
      <c r="Z171" s="182">
        <v>0</v>
      </c>
    </row>
    <row r="172" spans="1:26" x14ac:dyDescent="0.4">
      <c r="A172" s="104" t="s">
        <v>206</v>
      </c>
      <c r="B172" s="169">
        <v>5</v>
      </c>
      <c r="C172" s="87">
        <v>5</v>
      </c>
      <c r="D172" s="87">
        <v>0</v>
      </c>
      <c r="E172" s="87">
        <v>0</v>
      </c>
      <c r="F172" s="87">
        <v>1</v>
      </c>
      <c r="G172" s="87">
        <v>0</v>
      </c>
      <c r="H172" s="87">
        <v>4</v>
      </c>
      <c r="I172" s="87">
        <v>4</v>
      </c>
      <c r="J172" s="87">
        <v>0</v>
      </c>
      <c r="K172" s="87">
        <v>1</v>
      </c>
      <c r="L172" s="87">
        <v>0</v>
      </c>
      <c r="M172" s="87">
        <v>1</v>
      </c>
      <c r="N172" s="87">
        <v>0</v>
      </c>
      <c r="O172" s="87">
        <v>4</v>
      </c>
      <c r="P172" s="87">
        <v>0</v>
      </c>
      <c r="Q172" s="87">
        <v>5</v>
      </c>
      <c r="R172" s="87">
        <v>0</v>
      </c>
      <c r="S172" s="87">
        <v>4</v>
      </c>
      <c r="T172" s="87">
        <v>0</v>
      </c>
      <c r="U172" s="87">
        <v>0</v>
      </c>
      <c r="V172" s="87">
        <v>1</v>
      </c>
      <c r="W172" s="102">
        <v>1</v>
      </c>
      <c r="X172" s="102">
        <v>0</v>
      </c>
      <c r="Y172" s="102">
        <v>1</v>
      </c>
      <c r="Z172" s="182">
        <v>4</v>
      </c>
    </row>
    <row r="173" spans="1:26" x14ac:dyDescent="0.4">
      <c r="B173" s="170">
        <v>0</v>
      </c>
      <c r="C173" s="171">
        <v>0</v>
      </c>
      <c r="D173" s="87">
        <v>0</v>
      </c>
      <c r="E173" s="87">
        <v>0</v>
      </c>
      <c r="F173" s="171">
        <v>0</v>
      </c>
      <c r="G173" s="87">
        <v>0</v>
      </c>
      <c r="H173" s="171">
        <v>0</v>
      </c>
      <c r="I173" s="171">
        <v>0</v>
      </c>
      <c r="J173" s="87">
        <v>0</v>
      </c>
      <c r="K173" s="171">
        <v>0</v>
      </c>
      <c r="L173" s="87">
        <v>0</v>
      </c>
      <c r="M173" s="171">
        <v>0</v>
      </c>
      <c r="N173" s="87">
        <v>0</v>
      </c>
      <c r="O173" s="171">
        <v>0</v>
      </c>
      <c r="P173" s="87">
        <v>0</v>
      </c>
      <c r="Q173" s="171">
        <v>0</v>
      </c>
      <c r="R173" s="87">
        <v>0</v>
      </c>
      <c r="S173" s="171">
        <v>0</v>
      </c>
      <c r="T173" s="87">
        <v>0</v>
      </c>
      <c r="U173" s="87">
        <v>0</v>
      </c>
      <c r="V173" s="171">
        <v>0</v>
      </c>
      <c r="W173" s="180">
        <v>0</v>
      </c>
      <c r="X173" s="102">
        <v>0</v>
      </c>
      <c r="Y173" s="180">
        <v>0</v>
      </c>
      <c r="Z173" s="181">
        <v>0</v>
      </c>
    </row>
    <row r="174" spans="1:26" x14ac:dyDescent="0.4">
      <c r="A174" s="104" t="s">
        <v>207</v>
      </c>
      <c r="B174" s="169">
        <v>125</v>
      </c>
      <c r="C174" s="87">
        <v>69</v>
      </c>
      <c r="D174" s="87">
        <v>56</v>
      </c>
      <c r="E174" s="87">
        <v>12</v>
      </c>
      <c r="F174" s="87">
        <v>23</v>
      </c>
      <c r="G174" s="87">
        <v>32</v>
      </c>
      <c r="H174" s="87">
        <v>58</v>
      </c>
      <c r="I174" s="87">
        <v>36</v>
      </c>
      <c r="J174" s="87">
        <v>42</v>
      </c>
      <c r="K174" s="87">
        <v>46</v>
      </c>
      <c r="L174" s="87">
        <v>5</v>
      </c>
      <c r="M174" s="87">
        <v>59</v>
      </c>
      <c r="N174" s="87">
        <v>17</v>
      </c>
      <c r="O174" s="87">
        <v>44</v>
      </c>
      <c r="P174" s="87">
        <v>55</v>
      </c>
      <c r="Q174" s="87">
        <v>58</v>
      </c>
      <c r="R174" s="87">
        <v>12</v>
      </c>
      <c r="S174" s="87">
        <v>19</v>
      </c>
      <c r="T174" s="87">
        <v>54</v>
      </c>
      <c r="U174" s="87">
        <v>32</v>
      </c>
      <c r="V174" s="87">
        <v>20</v>
      </c>
      <c r="W174" s="102">
        <v>83</v>
      </c>
      <c r="X174" s="102">
        <v>25</v>
      </c>
      <c r="Y174" s="102">
        <v>29</v>
      </c>
      <c r="Z174" s="182">
        <v>77</v>
      </c>
    </row>
    <row r="175" spans="1:26" x14ac:dyDescent="0.4">
      <c r="B175" s="170">
        <v>0</v>
      </c>
      <c r="C175" s="171">
        <v>0.01</v>
      </c>
      <c r="D175" s="171">
        <v>0</v>
      </c>
      <c r="E175" s="171">
        <v>0</v>
      </c>
      <c r="F175" s="171">
        <v>0</v>
      </c>
      <c r="G175" s="171">
        <v>0</v>
      </c>
      <c r="H175" s="171">
        <v>0.01</v>
      </c>
      <c r="I175" s="171">
        <v>0.01</v>
      </c>
      <c r="J175" s="171">
        <v>0</v>
      </c>
      <c r="K175" s="171">
        <v>0</v>
      </c>
      <c r="L175" s="171">
        <v>0</v>
      </c>
      <c r="M175" s="171">
        <v>0</v>
      </c>
      <c r="N175" s="171">
        <v>0.01</v>
      </c>
      <c r="O175" s="171">
        <v>0.01</v>
      </c>
      <c r="P175" s="171">
        <v>0.01</v>
      </c>
      <c r="Q175" s="171">
        <v>0.01</v>
      </c>
      <c r="R175" s="171">
        <v>0</v>
      </c>
      <c r="S175" s="171">
        <v>0</v>
      </c>
      <c r="T175" s="171">
        <v>0.01</v>
      </c>
      <c r="U175" s="171">
        <v>0.01</v>
      </c>
      <c r="V175" s="171">
        <v>0</v>
      </c>
      <c r="W175" s="180">
        <v>0</v>
      </c>
      <c r="X175" s="180">
        <v>0</v>
      </c>
      <c r="Y175" s="180">
        <v>0</v>
      </c>
      <c r="Z175" s="181">
        <v>0.01</v>
      </c>
    </row>
    <row r="176" spans="1:26" x14ac:dyDescent="0.4">
      <c r="A176" s="104" t="s">
        <v>208</v>
      </c>
      <c r="B176" s="169">
        <v>124</v>
      </c>
      <c r="C176" s="87">
        <v>49</v>
      </c>
      <c r="D176" s="87">
        <v>70</v>
      </c>
      <c r="E176" s="87">
        <v>11</v>
      </c>
      <c r="F176" s="87">
        <v>28</v>
      </c>
      <c r="G176" s="87">
        <v>30</v>
      </c>
      <c r="H176" s="87">
        <v>55</v>
      </c>
      <c r="I176" s="87">
        <v>21</v>
      </c>
      <c r="J176" s="87">
        <v>17</v>
      </c>
      <c r="K176" s="87">
        <v>87</v>
      </c>
      <c r="L176" s="87">
        <v>10</v>
      </c>
      <c r="M176" s="87">
        <v>23</v>
      </c>
      <c r="N176" s="87">
        <v>30</v>
      </c>
      <c r="O176" s="87">
        <v>56</v>
      </c>
      <c r="P176" s="87">
        <v>36</v>
      </c>
      <c r="Q176" s="87">
        <v>64</v>
      </c>
      <c r="R176" s="87">
        <v>22</v>
      </c>
      <c r="S176" s="87">
        <v>47</v>
      </c>
      <c r="T176" s="87">
        <v>45</v>
      </c>
      <c r="U176" s="87">
        <v>7</v>
      </c>
      <c r="V176" s="87">
        <v>25</v>
      </c>
      <c r="W176" s="102">
        <v>87</v>
      </c>
      <c r="X176" s="102">
        <v>31</v>
      </c>
      <c r="Y176" s="102">
        <v>31</v>
      </c>
      <c r="Z176" s="182">
        <v>82</v>
      </c>
    </row>
    <row r="177" spans="1:26" x14ac:dyDescent="0.4">
      <c r="B177" s="170">
        <v>0</v>
      </c>
      <c r="C177" s="171">
        <v>0</v>
      </c>
      <c r="D177" s="171">
        <v>0.01</v>
      </c>
      <c r="E177" s="171">
        <v>0</v>
      </c>
      <c r="F177" s="171">
        <v>0</v>
      </c>
      <c r="G177" s="171">
        <v>0</v>
      </c>
      <c r="H177" s="171">
        <v>0.01</v>
      </c>
      <c r="I177" s="171">
        <v>0.01</v>
      </c>
      <c r="J177" s="171">
        <v>0</v>
      </c>
      <c r="K177" s="171">
        <v>0.01</v>
      </c>
      <c r="L177" s="171">
        <v>0</v>
      </c>
      <c r="M177" s="171">
        <v>0</v>
      </c>
      <c r="N177" s="171">
        <v>0.01</v>
      </c>
      <c r="O177" s="171">
        <v>0.01</v>
      </c>
      <c r="P177" s="171">
        <v>0</v>
      </c>
      <c r="Q177" s="171">
        <v>0.01</v>
      </c>
      <c r="R177" s="171">
        <v>0</v>
      </c>
      <c r="S177" s="171">
        <v>0.01</v>
      </c>
      <c r="T177" s="171">
        <v>0</v>
      </c>
      <c r="U177" s="171">
        <v>0</v>
      </c>
      <c r="V177" s="171">
        <v>0</v>
      </c>
      <c r="W177" s="180">
        <v>0</v>
      </c>
      <c r="X177" s="180">
        <v>0</v>
      </c>
      <c r="Y177" s="180">
        <v>0</v>
      </c>
      <c r="Z177" s="181">
        <v>0.01</v>
      </c>
    </row>
    <row r="178" spans="1:26" x14ac:dyDescent="0.4">
      <c r="A178" s="104" t="s">
        <v>209</v>
      </c>
      <c r="B178" s="169">
        <v>163</v>
      </c>
      <c r="C178" s="87">
        <v>78</v>
      </c>
      <c r="D178" s="87">
        <v>84</v>
      </c>
      <c r="E178" s="87">
        <v>19</v>
      </c>
      <c r="F178" s="87">
        <v>36</v>
      </c>
      <c r="G178" s="87">
        <v>35</v>
      </c>
      <c r="H178" s="87">
        <v>72</v>
      </c>
      <c r="I178" s="87">
        <v>37</v>
      </c>
      <c r="J178" s="87">
        <v>21</v>
      </c>
      <c r="K178" s="87">
        <v>105</v>
      </c>
      <c r="L178" s="87">
        <v>21</v>
      </c>
      <c r="M178" s="87">
        <v>49</v>
      </c>
      <c r="N178" s="87">
        <v>35</v>
      </c>
      <c r="O178" s="87">
        <v>54</v>
      </c>
      <c r="P178" s="87">
        <v>122</v>
      </c>
      <c r="Q178" s="87">
        <v>27</v>
      </c>
      <c r="R178" s="87">
        <v>11</v>
      </c>
      <c r="S178" s="87">
        <v>69</v>
      </c>
      <c r="T178" s="87">
        <v>55</v>
      </c>
      <c r="U178" s="87">
        <v>9</v>
      </c>
      <c r="V178" s="87">
        <v>29</v>
      </c>
      <c r="W178" s="102">
        <v>90</v>
      </c>
      <c r="X178" s="102">
        <v>61</v>
      </c>
      <c r="Y178" s="102">
        <v>47</v>
      </c>
      <c r="Z178" s="182">
        <v>104</v>
      </c>
    </row>
    <row r="179" spans="1:26" x14ac:dyDescent="0.4">
      <c r="B179" s="170">
        <v>0.01</v>
      </c>
      <c r="C179" s="171">
        <v>0.01</v>
      </c>
      <c r="D179" s="171">
        <v>0.01</v>
      </c>
      <c r="E179" s="171">
        <v>0.01</v>
      </c>
      <c r="F179" s="171">
        <v>0</v>
      </c>
      <c r="G179" s="171">
        <v>0</v>
      </c>
      <c r="H179" s="171">
        <v>0.01</v>
      </c>
      <c r="I179" s="171">
        <v>0.01</v>
      </c>
      <c r="J179" s="171">
        <v>0</v>
      </c>
      <c r="K179" s="171">
        <v>0.01</v>
      </c>
      <c r="L179" s="171">
        <v>0.01</v>
      </c>
      <c r="M179" s="171">
        <v>0</v>
      </c>
      <c r="N179" s="171">
        <v>0.01</v>
      </c>
      <c r="O179" s="171">
        <v>0.01</v>
      </c>
      <c r="P179" s="171">
        <v>0.01</v>
      </c>
      <c r="Q179" s="171">
        <v>0</v>
      </c>
      <c r="R179" s="171">
        <v>0</v>
      </c>
      <c r="S179" s="171">
        <v>0.01</v>
      </c>
      <c r="T179" s="171">
        <v>0.01</v>
      </c>
      <c r="U179" s="171">
        <v>0</v>
      </c>
      <c r="V179" s="171">
        <v>0</v>
      </c>
      <c r="W179" s="180">
        <v>0.01</v>
      </c>
      <c r="X179" s="180">
        <v>0.01</v>
      </c>
      <c r="Y179" s="180">
        <v>0</v>
      </c>
      <c r="Z179" s="181">
        <v>0.01</v>
      </c>
    </row>
    <row r="180" spans="1:26" x14ac:dyDescent="0.4">
      <c r="A180" s="104" t="s">
        <v>210</v>
      </c>
      <c r="B180" s="169">
        <v>106</v>
      </c>
      <c r="C180" s="87">
        <v>50</v>
      </c>
      <c r="D180" s="87">
        <v>56</v>
      </c>
      <c r="E180" s="87">
        <v>13</v>
      </c>
      <c r="F180" s="87">
        <v>32</v>
      </c>
      <c r="G180" s="87">
        <v>15</v>
      </c>
      <c r="H180" s="87">
        <v>46</v>
      </c>
      <c r="I180" s="87">
        <v>24</v>
      </c>
      <c r="J180" s="87">
        <v>18</v>
      </c>
      <c r="K180" s="87">
        <v>65</v>
      </c>
      <c r="L180" s="87">
        <v>10</v>
      </c>
      <c r="M180" s="87">
        <v>24</v>
      </c>
      <c r="N180" s="87">
        <v>31</v>
      </c>
      <c r="O180" s="87">
        <v>36</v>
      </c>
      <c r="P180" s="87">
        <v>30</v>
      </c>
      <c r="Q180" s="87">
        <v>51</v>
      </c>
      <c r="R180" s="87">
        <v>25</v>
      </c>
      <c r="S180" s="87">
        <v>38</v>
      </c>
      <c r="T180" s="87">
        <v>35</v>
      </c>
      <c r="U180" s="87">
        <v>12</v>
      </c>
      <c r="V180" s="87">
        <v>22</v>
      </c>
      <c r="W180" s="102">
        <v>62</v>
      </c>
      <c r="X180" s="102">
        <v>39</v>
      </c>
      <c r="Y180" s="102">
        <v>34</v>
      </c>
      <c r="Z180" s="182">
        <v>66</v>
      </c>
    </row>
    <row r="181" spans="1:26" x14ac:dyDescent="0.4">
      <c r="B181" s="170">
        <v>0</v>
      </c>
      <c r="C181" s="171">
        <v>0</v>
      </c>
      <c r="D181" s="171">
        <v>0</v>
      </c>
      <c r="E181" s="171">
        <v>0</v>
      </c>
      <c r="F181" s="171">
        <v>0</v>
      </c>
      <c r="G181" s="171">
        <v>0</v>
      </c>
      <c r="H181" s="171">
        <v>0.01</v>
      </c>
      <c r="I181" s="171">
        <v>0.01</v>
      </c>
      <c r="J181" s="171">
        <v>0</v>
      </c>
      <c r="K181" s="171">
        <v>0</v>
      </c>
      <c r="L181" s="171">
        <v>0</v>
      </c>
      <c r="M181" s="171">
        <v>0</v>
      </c>
      <c r="N181" s="171">
        <v>0.01</v>
      </c>
      <c r="O181" s="171">
        <v>0.01</v>
      </c>
      <c r="P181" s="171">
        <v>0</v>
      </c>
      <c r="Q181" s="171">
        <v>0</v>
      </c>
      <c r="R181" s="171">
        <v>0</v>
      </c>
      <c r="S181" s="171">
        <v>0.01</v>
      </c>
      <c r="T181" s="171">
        <v>0</v>
      </c>
      <c r="U181" s="171">
        <v>0</v>
      </c>
      <c r="V181" s="171">
        <v>0</v>
      </c>
      <c r="W181" s="180">
        <v>0</v>
      </c>
      <c r="X181" s="180">
        <v>0</v>
      </c>
      <c r="Y181" s="180">
        <v>0</v>
      </c>
      <c r="Z181" s="181">
        <v>0</v>
      </c>
    </row>
    <row r="182" spans="1:26" x14ac:dyDescent="0.4">
      <c r="A182" s="104" t="s">
        <v>211</v>
      </c>
      <c r="B182" s="169">
        <v>78</v>
      </c>
      <c r="C182" s="87">
        <v>28</v>
      </c>
      <c r="D182" s="87">
        <v>50</v>
      </c>
      <c r="E182" s="87">
        <v>5</v>
      </c>
      <c r="F182" s="87">
        <v>24</v>
      </c>
      <c r="G182" s="87">
        <v>17</v>
      </c>
      <c r="H182" s="87">
        <v>31</v>
      </c>
      <c r="I182" s="87">
        <v>14</v>
      </c>
      <c r="J182" s="87">
        <v>13</v>
      </c>
      <c r="K182" s="87">
        <v>50</v>
      </c>
      <c r="L182" s="87">
        <v>7</v>
      </c>
      <c r="M182" s="87">
        <v>18</v>
      </c>
      <c r="N182" s="87">
        <v>18</v>
      </c>
      <c r="O182" s="87">
        <v>34</v>
      </c>
      <c r="P182" s="87">
        <v>19</v>
      </c>
      <c r="Q182" s="87">
        <v>35</v>
      </c>
      <c r="R182" s="87">
        <v>24</v>
      </c>
      <c r="S182" s="87">
        <v>32</v>
      </c>
      <c r="T182" s="87">
        <v>28</v>
      </c>
      <c r="U182" s="87">
        <v>10</v>
      </c>
      <c r="V182" s="87">
        <v>7</v>
      </c>
      <c r="W182" s="102">
        <v>42</v>
      </c>
      <c r="X182" s="102">
        <v>32</v>
      </c>
      <c r="Y182" s="102">
        <v>12</v>
      </c>
      <c r="Z182" s="182">
        <v>61</v>
      </c>
    </row>
    <row r="183" spans="1:26" x14ac:dyDescent="0.4">
      <c r="B183" s="170">
        <v>0</v>
      </c>
      <c r="C183" s="171">
        <v>0</v>
      </c>
      <c r="D183" s="171">
        <v>0</v>
      </c>
      <c r="E183" s="171">
        <v>0</v>
      </c>
      <c r="F183" s="171">
        <v>0</v>
      </c>
      <c r="G183" s="171">
        <v>0</v>
      </c>
      <c r="H183" s="171">
        <v>0</v>
      </c>
      <c r="I183" s="171">
        <v>0</v>
      </c>
      <c r="J183" s="171">
        <v>0</v>
      </c>
      <c r="K183" s="171">
        <v>0</v>
      </c>
      <c r="L183" s="171">
        <v>0</v>
      </c>
      <c r="M183" s="171">
        <v>0</v>
      </c>
      <c r="N183" s="171">
        <v>0.01</v>
      </c>
      <c r="O183" s="171">
        <v>0</v>
      </c>
      <c r="P183" s="171">
        <v>0</v>
      </c>
      <c r="Q183" s="171">
        <v>0</v>
      </c>
      <c r="R183" s="171">
        <v>0</v>
      </c>
      <c r="S183" s="171">
        <v>0.01</v>
      </c>
      <c r="T183" s="171">
        <v>0</v>
      </c>
      <c r="U183" s="171">
        <v>0</v>
      </c>
      <c r="V183" s="171">
        <v>0</v>
      </c>
      <c r="W183" s="180">
        <v>0</v>
      </c>
      <c r="X183" s="180">
        <v>0</v>
      </c>
      <c r="Y183" s="180">
        <v>0</v>
      </c>
      <c r="Z183" s="181">
        <v>0</v>
      </c>
    </row>
    <row r="184" spans="1:26" x14ac:dyDescent="0.4">
      <c r="A184" s="104" t="s">
        <v>212</v>
      </c>
      <c r="B184" s="169">
        <v>3</v>
      </c>
      <c r="C184" s="87">
        <v>1</v>
      </c>
      <c r="D184" s="87">
        <v>0</v>
      </c>
      <c r="E184" s="87">
        <v>0</v>
      </c>
      <c r="F184" s="87">
        <v>2</v>
      </c>
      <c r="G184" s="87">
        <v>1</v>
      </c>
      <c r="H184" s="87">
        <v>0</v>
      </c>
      <c r="I184" s="87">
        <v>1</v>
      </c>
      <c r="J184" s="87">
        <v>0</v>
      </c>
      <c r="K184" s="87">
        <v>1</v>
      </c>
      <c r="L184" s="87">
        <v>1</v>
      </c>
      <c r="M184" s="87">
        <v>0</v>
      </c>
      <c r="N184" s="87">
        <v>1</v>
      </c>
      <c r="O184" s="87">
        <v>0</v>
      </c>
      <c r="P184" s="87">
        <v>2</v>
      </c>
      <c r="Q184" s="87">
        <v>0</v>
      </c>
      <c r="R184" s="87">
        <v>0</v>
      </c>
      <c r="S184" s="87">
        <v>0</v>
      </c>
      <c r="T184" s="87">
        <v>0</v>
      </c>
      <c r="U184" s="87">
        <v>0</v>
      </c>
      <c r="V184" s="87">
        <v>2</v>
      </c>
      <c r="W184" s="102">
        <v>1</v>
      </c>
      <c r="X184" s="102">
        <v>1</v>
      </c>
      <c r="Y184" s="102">
        <v>1</v>
      </c>
      <c r="Z184" s="182">
        <v>2</v>
      </c>
    </row>
    <row r="185" spans="1:26" x14ac:dyDescent="0.4">
      <c r="B185" s="170">
        <v>0</v>
      </c>
      <c r="C185" s="171">
        <v>0</v>
      </c>
      <c r="D185" s="171">
        <v>0</v>
      </c>
      <c r="E185" s="87">
        <v>0</v>
      </c>
      <c r="F185" s="171">
        <v>0</v>
      </c>
      <c r="G185" s="171">
        <v>0</v>
      </c>
      <c r="H185" s="87">
        <v>0</v>
      </c>
      <c r="I185" s="171">
        <v>0</v>
      </c>
      <c r="J185" s="87">
        <v>0</v>
      </c>
      <c r="K185" s="171">
        <v>0</v>
      </c>
      <c r="L185" s="171">
        <v>0</v>
      </c>
      <c r="M185" s="87">
        <v>0</v>
      </c>
      <c r="N185" s="171">
        <v>0</v>
      </c>
      <c r="O185" s="171">
        <v>0</v>
      </c>
      <c r="P185" s="171">
        <v>0</v>
      </c>
      <c r="Q185" s="171">
        <v>0</v>
      </c>
      <c r="R185" s="87">
        <v>0</v>
      </c>
      <c r="S185" s="87">
        <v>0</v>
      </c>
      <c r="T185" s="87">
        <v>0</v>
      </c>
      <c r="U185" s="171">
        <v>0</v>
      </c>
      <c r="V185" s="171">
        <v>0</v>
      </c>
      <c r="W185" s="180">
        <v>0</v>
      </c>
      <c r="X185" s="180">
        <v>0</v>
      </c>
      <c r="Y185" s="180">
        <v>0</v>
      </c>
      <c r="Z185" s="181">
        <v>0</v>
      </c>
    </row>
    <row r="186" spans="1:26" x14ac:dyDescent="0.4">
      <c r="A186" s="104" t="s">
        <v>213</v>
      </c>
      <c r="B186" s="169">
        <v>651</v>
      </c>
      <c r="C186" s="87">
        <v>306</v>
      </c>
      <c r="D186" s="87">
        <v>345</v>
      </c>
      <c r="E186" s="87">
        <v>143</v>
      </c>
      <c r="F186" s="87">
        <v>146</v>
      </c>
      <c r="G186" s="87">
        <v>134</v>
      </c>
      <c r="H186" s="87">
        <v>228</v>
      </c>
      <c r="I186" s="87">
        <v>147</v>
      </c>
      <c r="J186" s="87">
        <v>221</v>
      </c>
      <c r="K186" s="87">
        <v>284</v>
      </c>
      <c r="L186" s="87">
        <v>79</v>
      </c>
      <c r="M186" s="87">
        <v>318</v>
      </c>
      <c r="N186" s="87">
        <v>40</v>
      </c>
      <c r="O186" s="87">
        <v>209</v>
      </c>
      <c r="P186" s="87">
        <v>459</v>
      </c>
      <c r="Q186" s="87">
        <v>111</v>
      </c>
      <c r="R186" s="87">
        <v>81</v>
      </c>
      <c r="S186" s="87">
        <v>195</v>
      </c>
      <c r="T186" s="87">
        <v>242</v>
      </c>
      <c r="U186" s="87">
        <v>80</v>
      </c>
      <c r="V186" s="87">
        <v>135</v>
      </c>
      <c r="W186" s="102">
        <v>495</v>
      </c>
      <c r="X186" s="102">
        <v>150</v>
      </c>
      <c r="Y186" s="102">
        <v>298</v>
      </c>
      <c r="Z186" s="182">
        <v>316</v>
      </c>
    </row>
    <row r="187" spans="1:26" x14ac:dyDescent="0.4">
      <c r="B187" s="170">
        <v>0.02</v>
      </c>
      <c r="C187" s="171">
        <v>0.02</v>
      </c>
      <c r="D187" s="171">
        <v>0.03</v>
      </c>
      <c r="E187" s="171">
        <v>0.04</v>
      </c>
      <c r="F187" s="171">
        <v>0.02</v>
      </c>
      <c r="G187" s="171">
        <v>0.02</v>
      </c>
      <c r="H187" s="171">
        <v>0.03</v>
      </c>
      <c r="I187" s="171">
        <v>0.04</v>
      </c>
      <c r="J187" s="171">
        <v>0.02</v>
      </c>
      <c r="K187" s="171">
        <v>0.02</v>
      </c>
      <c r="L187" s="171">
        <v>0.03</v>
      </c>
      <c r="M187" s="171">
        <v>0.02</v>
      </c>
      <c r="N187" s="171">
        <v>0.01</v>
      </c>
      <c r="O187" s="171">
        <v>0.03</v>
      </c>
      <c r="P187" s="171">
        <v>0.04</v>
      </c>
      <c r="Q187" s="171">
        <v>0.01</v>
      </c>
      <c r="R187" s="171">
        <v>0.01</v>
      </c>
      <c r="S187" s="171">
        <v>0.03</v>
      </c>
      <c r="T187" s="171">
        <v>0.02</v>
      </c>
      <c r="U187" s="171">
        <v>0.02</v>
      </c>
      <c r="V187" s="171">
        <v>0.02</v>
      </c>
      <c r="W187" s="180">
        <v>0.03</v>
      </c>
      <c r="X187" s="180">
        <v>0.02</v>
      </c>
      <c r="Y187" s="180">
        <v>0.03</v>
      </c>
      <c r="Z187" s="181">
        <v>0.02</v>
      </c>
    </row>
    <row r="188" spans="1:26" x14ac:dyDescent="0.4">
      <c r="A188" s="104" t="s">
        <v>214</v>
      </c>
      <c r="B188" s="169">
        <v>139</v>
      </c>
      <c r="C188" s="87">
        <v>60</v>
      </c>
      <c r="D188" s="87">
        <v>79</v>
      </c>
      <c r="E188" s="87">
        <v>9</v>
      </c>
      <c r="F188" s="87">
        <v>14</v>
      </c>
      <c r="G188" s="87">
        <v>34</v>
      </c>
      <c r="H188" s="87">
        <v>82</v>
      </c>
      <c r="I188" s="87">
        <v>47</v>
      </c>
      <c r="J188" s="87">
        <v>61</v>
      </c>
      <c r="K188" s="87">
        <v>30</v>
      </c>
      <c r="L188" s="87">
        <v>4</v>
      </c>
      <c r="M188" s="87">
        <v>47</v>
      </c>
      <c r="N188" s="87">
        <v>1</v>
      </c>
      <c r="O188" s="87">
        <v>87</v>
      </c>
      <c r="P188" s="87">
        <v>23</v>
      </c>
      <c r="Q188" s="87">
        <v>30</v>
      </c>
      <c r="R188" s="87">
        <v>85</v>
      </c>
      <c r="S188" s="87">
        <v>26</v>
      </c>
      <c r="T188" s="87">
        <v>86</v>
      </c>
      <c r="U188" s="87">
        <v>13</v>
      </c>
      <c r="V188" s="87">
        <v>13</v>
      </c>
      <c r="W188" s="102">
        <v>121</v>
      </c>
      <c r="X188" s="102">
        <v>15</v>
      </c>
      <c r="Y188" s="102">
        <v>59</v>
      </c>
      <c r="Z188" s="182">
        <v>76</v>
      </c>
    </row>
    <row r="189" spans="1:26" x14ac:dyDescent="0.4">
      <c r="B189" s="170">
        <v>0.01</v>
      </c>
      <c r="C189" s="171">
        <v>0</v>
      </c>
      <c r="D189" s="171">
        <v>0.01</v>
      </c>
      <c r="E189" s="171">
        <v>0</v>
      </c>
      <c r="F189" s="171">
        <v>0</v>
      </c>
      <c r="G189" s="171">
        <v>0</v>
      </c>
      <c r="H189" s="171">
        <v>0.01</v>
      </c>
      <c r="I189" s="171">
        <v>0.01</v>
      </c>
      <c r="J189" s="171">
        <v>0.01</v>
      </c>
      <c r="K189" s="171">
        <v>0</v>
      </c>
      <c r="L189" s="171">
        <v>0</v>
      </c>
      <c r="M189" s="171">
        <v>0</v>
      </c>
      <c r="N189" s="171">
        <v>0</v>
      </c>
      <c r="O189" s="171">
        <v>0.01</v>
      </c>
      <c r="P189" s="171">
        <v>0</v>
      </c>
      <c r="Q189" s="171">
        <v>0</v>
      </c>
      <c r="R189" s="171">
        <v>0.01</v>
      </c>
      <c r="S189" s="171">
        <v>0</v>
      </c>
      <c r="T189" s="171">
        <v>0.01</v>
      </c>
      <c r="U189" s="171">
        <v>0</v>
      </c>
      <c r="V189" s="171">
        <v>0</v>
      </c>
      <c r="W189" s="180">
        <v>0.01</v>
      </c>
      <c r="X189" s="180">
        <v>0</v>
      </c>
      <c r="Y189" s="180">
        <v>0.01</v>
      </c>
      <c r="Z189" s="181">
        <v>0.01</v>
      </c>
    </row>
    <row r="190" spans="1:26" x14ac:dyDescent="0.4">
      <c r="A190" s="104" t="s">
        <v>215</v>
      </c>
      <c r="B190" s="169">
        <v>149</v>
      </c>
      <c r="C190" s="87">
        <v>83</v>
      </c>
      <c r="D190" s="87">
        <v>66</v>
      </c>
      <c r="E190" s="87">
        <v>14</v>
      </c>
      <c r="F190" s="87">
        <v>30</v>
      </c>
      <c r="G190" s="87">
        <v>30</v>
      </c>
      <c r="H190" s="87">
        <v>75</v>
      </c>
      <c r="I190" s="87">
        <v>33</v>
      </c>
      <c r="J190" s="87">
        <v>60</v>
      </c>
      <c r="K190" s="87">
        <v>56</v>
      </c>
      <c r="L190" s="87">
        <v>11</v>
      </c>
      <c r="M190" s="87">
        <v>63</v>
      </c>
      <c r="N190" s="87">
        <v>13</v>
      </c>
      <c r="O190" s="87">
        <v>63</v>
      </c>
      <c r="P190" s="87">
        <v>44</v>
      </c>
      <c r="Q190" s="87">
        <v>33</v>
      </c>
      <c r="R190" s="87">
        <v>72</v>
      </c>
      <c r="S190" s="87">
        <v>40</v>
      </c>
      <c r="T190" s="87">
        <v>74</v>
      </c>
      <c r="U190" s="87">
        <v>14</v>
      </c>
      <c r="V190" s="87">
        <v>21</v>
      </c>
      <c r="W190" s="102">
        <v>134</v>
      </c>
      <c r="X190" s="102">
        <v>13</v>
      </c>
      <c r="Y190" s="102">
        <v>83</v>
      </c>
      <c r="Z190" s="182">
        <v>58</v>
      </c>
    </row>
    <row r="191" spans="1:26" x14ac:dyDescent="0.4">
      <c r="B191" s="170">
        <v>0.01</v>
      </c>
      <c r="C191" s="171">
        <v>0.01</v>
      </c>
      <c r="D191" s="171">
        <v>0</v>
      </c>
      <c r="E191" s="171">
        <v>0</v>
      </c>
      <c r="F191" s="171">
        <v>0</v>
      </c>
      <c r="G191" s="171">
        <v>0</v>
      </c>
      <c r="H191" s="171">
        <v>0.01</v>
      </c>
      <c r="I191" s="171">
        <v>0.01</v>
      </c>
      <c r="J191" s="171">
        <v>0.01</v>
      </c>
      <c r="K191" s="171">
        <v>0</v>
      </c>
      <c r="L191" s="171">
        <v>0</v>
      </c>
      <c r="M191" s="171">
        <v>0</v>
      </c>
      <c r="N191" s="171">
        <v>0</v>
      </c>
      <c r="O191" s="171">
        <v>0.01</v>
      </c>
      <c r="P191" s="171">
        <v>0</v>
      </c>
      <c r="Q191" s="171">
        <v>0</v>
      </c>
      <c r="R191" s="171">
        <v>0.01</v>
      </c>
      <c r="S191" s="171">
        <v>0.01</v>
      </c>
      <c r="T191" s="171">
        <v>0.01</v>
      </c>
      <c r="U191" s="171">
        <v>0</v>
      </c>
      <c r="V191" s="171">
        <v>0</v>
      </c>
      <c r="W191" s="180">
        <v>0.01</v>
      </c>
      <c r="X191" s="180">
        <v>0</v>
      </c>
      <c r="Y191" s="180">
        <v>0.01</v>
      </c>
      <c r="Z191" s="181">
        <v>0</v>
      </c>
    </row>
    <row r="192" spans="1:26" x14ac:dyDescent="0.4">
      <c r="A192" s="104" t="s">
        <v>216</v>
      </c>
      <c r="B192" s="169">
        <v>178</v>
      </c>
      <c r="C192" s="87">
        <v>85</v>
      </c>
      <c r="D192" s="87">
        <v>93</v>
      </c>
      <c r="E192" s="87">
        <v>7</v>
      </c>
      <c r="F192" s="87">
        <v>26</v>
      </c>
      <c r="G192" s="87">
        <v>43</v>
      </c>
      <c r="H192" s="87">
        <v>102</v>
      </c>
      <c r="I192" s="87">
        <v>66</v>
      </c>
      <c r="J192" s="87">
        <v>55</v>
      </c>
      <c r="K192" s="87">
        <v>57</v>
      </c>
      <c r="L192" s="87">
        <v>5</v>
      </c>
      <c r="M192" s="87">
        <v>87</v>
      </c>
      <c r="N192" s="87">
        <v>13</v>
      </c>
      <c r="O192" s="87">
        <v>72</v>
      </c>
      <c r="P192" s="87">
        <v>63</v>
      </c>
      <c r="Q192" s="87">
        <v>41</v>
      </c>
      <c r="R192" s="87">
        <v>74</v>
      </c>
      <c r="S192" s="87">
        <v>25</v>
      </c>
      <c r="T192" s="87">
        <v>112</v>
      </c>
      <c r="U192" s="87">
        <v>20</v>
      </c>
      <c r="V192" s="87">
        <v>21</v>
      </c>
      <c r="W192" s="102">
        <v>139</v>
      </c>
      <c r="X192" s="102">
        <v>28</v>
      </c>
      <c r="Y192" s="102">
        <v>66</v>
      </c>
      <c r="Z192" s="182">
        <v>89</v>
      </c>
    </row>
    <row r="193" spans="1:26" x14ac:dyDescent="0.4">
      <c r="B193" s="170">
        <v>0.01</v>
      </c>
      <c r="C193" s="171">
        <v>0.01</v>
      </c>
      <c r="D193" s="171">
        <v>0.01</v>
      </c>
      <c r="E193" s="171">
        <v>0</v>
      </c>
      <c r="F193" s="171">
        <v>0</v>
      </c>
      <c r="G193" s="171">
        <v>0.01</v>
      </c>
      <c r="H193" s="171">
        <v>0.01</v>
      </c>
      <c r="I193" s="171">
        <v>0.02</v>
      </c>
      <c r="J193" s="171">
        <v>0.01</v>
      </c>
      <c r="K193" s="171">
        <v>0</v>
      </c>
      <c r="L193" s="171">
        <v>0</v>
      </c>
      <c r="M193" s="171">
        <v>0.01</v>
      </c>
      <c r="N193" s="171">
        <v>0</v>
      </c>
      <c r="O193" s="171">
        <v>0.01</v>
      </c>
      <c r="P193" s="171">
        <v>0.01</v>
      </c>
      <c r="Q193" s="171">
        <v>0</v>
      </c>
      <c r="R193" s="171">
        <v>0.01</v>
      </c>
      <c r="S193" s="171">
        <v>0</v>
      </c>
      <c r="T193" s="171">
        <v>0.01</v>
      </c>
      <c r="U193" s="171">
        <v>0</v>
      </c>
      <c r="V193" s="171">
        <v>0</v>
      </c>
      <c r="W193" s="180">
        <v>0.01</v>
      </c>
      <c r="X193" s="180">
        <v>0</v>
      </c>
      <c r="Y193" s="180">
        <v>0.01</v>
      </c>
      <c r="Z193" s="181">
        <v>0.01</v>
      </c>
    </row>
    <row r="194" spans="1:26" x14ac:dyDescent="0.4">
      <c r="A194" s="104" t="s">
        <v>217</v>
      </c>
      <c r="B194" s="169">
        <v>315</v>
      </c>
      <c r="C194" s="87">
        <v>155</v>
      </c>
      <c r="D194" s="87">
        <v>160</v>
      </c>
      <c r="E194" s="87">
        <v>35</v>
      </c>
      <c r="F194" s="87">
        <v>57</v>
      </c>
      <c r="G194" s="87">
        <v>69</v>
      </c>
      <c r="H194" s="87">
        <v>154</v>
      </c>
      <c r="I194" s="87">
        <v>55</v>
      </c>
      <c r="J194" s="87">
        <v>137</v>
      </c>
      <c r="K194" s="87">
        <v>123</v>
      </c>
      <c r="L194" s="87">
        <v>15</v>
      </c>
      <c r="M194" s="87">
        <v>144</v>
      </c>
      <c r="N194" s="87">
        <v>27</v>
      </c>
      <c r="O194" s="87">
        <v>128</v>
      </c>
      <c r="P194" s="87">
        <v>98</v>
      </c>
      <c r="Q194" s="87">
        <v>99</v>
      </c>
      <c r="R194" s="87">
        <v>116</v>
      </c>
      <c r="S194" s="87">
        <v>110</v>
      </c>
      <c r="T194" s="87">
        <v>132</v>
      </c>
      <c r="U194" s="87">
        <v>39</v>
      </c>
      <c r="V194" s="87">
        <v>33</v>
      </c>
      <c r="W194" s="102">
        <v>250</v>
      </c>
      <c r="X194" s="102">
        <v>64</v>
      </c>
      <c r="Y194" s="102">
        <v>161</v>
      </c>
      <c r="Z194" s="182">
        <v>142</v>
      </c>
    </row>
    <row r="195" spans="1:26" x14ac:dyDescent="0.4">
      <c r="B195" s="170">
        <v>0.01</v>
      </c>
      <c r="C195" s="171">
        <v>0.01</v>
      </c>
      <c r="D195" s="171">
        <v>0.01</v>
      </c>
      <c r="E195" s="171">
        <v>0.01</v>
      </c>
      <c r="F195" s="171">
        <v>0.01</v>
      </c>
      <c r="G195" s="171">
        <v>0.01</v>
      </c>
      <c r="H195" s="171">
        <v>0.02</v>
      </c>
      <c r="I195" s="171">
        <v>0.02</v>
      </c>
      <c r="J195" s="171">
        <v>0.02</v>
      </c>
      <c r="K195" s="171">
        <v>0.01</v>
      </c>
      <c r="L195" s="171">
        <v>0.01</v>
      </c>
      <c r="M195" s="171">
        <v>0.01</v>
      </c>
      <c r="N195" s="171">
        <v>0.01</v>
      </c>
      <c r="O195" s="171">
        <v>0.02</v>
      </c>
      <c r="P195" s="171">
        <v>0.01</v>
      </c>
      <c r="Q195" s="171">
        <v>0.01</v>
      </c>
      <c r="R195" s="171">
        <v>0.02</v>
      </c>
      <c r="S195" s="171">
        <v>0.02</v>
      </c>
      <c r="T195" s="171">
        <v>0.01</v>
      </c>
      <c r="U195" s="171">
        <v>0.01</v>
      </c>
      <c r="V195" s="171">
        <v>0.01</v>
      </c>
      <c r="W195" s="180">
        <v>0.01</v>
      </c>
      <c r="X195" s="180">
        <v>0.01</v>
      </c>
      <c r="Y195" s="180">
        <v>0.01</v>
      </c>
      <c r="Z195" s="181">
        <v>0.01</v>
      </c>
    </row>
    <row r="196" spans="1:26" x14ac:dyDescent="0.4">
      <c r="A196" s="104" t="s">
        <v>218</v>
      </c>
      <c r="B196" s="169">
        <v>304</v>
      </c>
      <c r="C196" s="87">
        <v>165</v>
      </c>
      <c r="D196" s="87">
        <v>137</v>
      </c>
      <c r="E196" s="87">
        <v>19</v>
      </c>
      <c r="F196" s="87">
        <v>36</v>
      </c>
      <c r="G196" s="87">
        <v>65</v>
      </c>
      <c r="H196" s="87">
        <v>185</v>
      </c>
      <c r="I196" s="87">
        <v>97</v>
      </c>
      <c r="J196" s="87">
        <v>94</v>
      </c>
      <c r="K196" s="87">
        <v>113</v>
      </c>
      <c r="L196" s="87">
        <v>29</v>
      </c>
      <c r="M196" s="87">
        <v>125</v>
      </c>
      <c r="N196" s="87">
        <v>34</v>
      </c>
      <c r="O196" s="87">
        <v>115</v>
      </c>
      <c r="P196" s="87">
        <v>91</v>
      </c>
      <c r="Q196" s="87">
        <v>71</v>
      </c>
      <c r="R196" s="87">
        <v>140</v>
      </c>
      <c r="S196" s="87">
        <v>100</v>
      </c>
      <c r="T196" s="87">
        <v>139</v>
      </c>
      <c r="U196" s="87">
        <v>36</v>
      </c>
      <c r="V196" s="87">
        <v>28</v>
      </c>
      <c r="W196" s="102">
        <v>228</v>
      </c>
      <c r="X196" s="102">
        <v>63</v>
      </c>
      <c r="Y196" s="102">
        <v>125</v>
      </c>
      <c r="Z196" s="182">
        <v>168</v>
      </c>
    </row>
    <row r="197" spans="1:26" x14ac:dyDescent="0.4">
      <c r="B197" s="170">
        <v>0.01</v>
      </c>
      <c r="C197" s="171">
        <v>0.01</v>
      </c>
      <c r="D197" s="171">
        <v>0.01</v>
      </c>
      <c r="E197" s="171">
        <v>0.01</v>
      </c>
      <c r="F197" s="171">
        <v>0</v>
      </c>
      <c r="G197" s="171">
        <v>0.01</v>
      </c>
      <c r="H197" s="171">
        <v>0.02</v>
      </c>
      <c r="I197" s="171">
        <v>0.03</v>
      </c>
      <c r="J197" s="171">
        <v>0.01</v>
      </c>
      <c r="K197" s="171">
        <v>0.01</v>
      </c>
      <c r="L197" s="171">
        <v>0.01</v>
      </c>
      <c r="M197" s="171">
        <v>0.01</v>
      </c>
      <c r="N197" s="171">
        <v>0.01</v>
      </c>
      <c r="O197" s="171">
        <v>0.02</v>
      </c>
      <c r="P197" s="171">
        <v>0.01</v>
      </c>
      <c r="Q197" s="171">
        <v>0.01</v>
      </c>
      <c r="R197" s="171">
        <v>0.02</v>
      </c>
      <c r="S197" s="171">
        <v>0.02</v>
      </c>
      <c r="T197" s="171">
        <v>0.01</v>
      </c>
      <c r="U197" s="171">
        <v>0.01</v>
      </c>
      <c r="V197" s="171">
        <v>0</v>
      </c>
      <c r="W197" s="180">
        <v>0.01</v>
      </c>
      <c r="X197" s="180">
        <v>0.01</v>
      </c>
      <c r="Y197" s="180">
        <v>0.01</v>
      </c>
      <c r="Z197" s="181">
        <v>0.01</v>
      </c>
    </row>
    <row r="198" spans="1:26" x14ac:dyDescent="0.4">
      <c r="A198" s="104" t="s">
        <v>219</v>
      </c>
      <c r="B198" s="169">
        <v>207</v>
      </c>
      <c r="C198" s="87">
        <v>106</v>
      </c>
      <c r="D198" s="87">
        <v>101</v>
      </c>
      <c r="E198" s="87">
        <v>20</v>
      </c>
      <c r="F198" s="87">
        <v>20</v>
      </c>
      <c r="G198" s="87">
        <v>44</v>
      </c>
      <c r="H198" s="87">
        <v>123</v>
      </c>
      <c r="I198" s="87">
        <v>67</v>
      </c>
      <c r="J198" s="87">
        <v>66</v>
      </c>
      <c r="K198" s="87">
        <v>73</v>
      </c>
      <c r="L198" s="87">
        <v>17</v>
      </c>
      <c r="M198" s="87">
        <v>101</v>
      </c>
      <c r="N198" s="87">
        <v>12</v>
      </c>
      <c r="O198" s="87">
        <v>76</v>
      </c>
      <c r="P198" s="87">
        <v>38</v>
      </c>
      <c r="Q198" s="87">
        <v>53</v>
      </c>
      <c r="R198" s="87">
        <v>114</v>
      </c>
      <c r="S198" s="87">
        <v>50</v>
      </c>
      <c r="T198" s="87">
        <v>77</v>
      </c>
      <c r="U198" s="87">
        <v>48</v>
      </c>
      <c r="V198" s="87">
        <v>32</v>
      </c>
      <c r="W198" s="102">
        <v>181</v>
      </c>
      <c r="X198" s="102">
        <v>21</v>
      </c>
      <c r="Y198" s="102">
        <v>78</v>
      </c>
      <c r="Z198" s="182">
        <v>105</v>
      </c>
    </row>
    <row r="199" spans="1:26" x14ac:dyDescent="0.4">
      <c r="B199" s="170">
        <v>0.01</v>
      </c>
      <c r="C199" s="171">
        <v>0.01</v>
      </c>
      <c r="D199" s="171">
        <v>0.01</v>
      </c>
      <c r="E199" s="171">
        <v>0.01</v>
      </c>
      <c r="F199" s="171">
        <v>0</v>
      </c>
      <c r="G199" s="171">
        <v>0.01</v>
      </c>
      <c r="H199" s="171">
        <v>0.01</v>
      </c>
      <c r="I199" s="171">
        <v>0.02</v>
      </c>
      <c r="J199" s="171">
        <v>0.01</v>
      </c>
      <c r="K199" s="171">
        <v>0</v>
      </c>
      <c r="L199" s="171">
        <v>0.01</v>
      </c>
      <c r="M199" s="171">
        <v>0.01</v>
      </c>
      <c r="N199" s="171">
        <v>0</v>
      </c>
      <c r="O199" s="171">
        <v>0.01</v>
      </c>
      <c r="P199" s="171">
        <v>0</v>
      </c>
      <c r="Q199" s="171">
        <v>0.01</v>
      </c>
      <c r="R199" s="171">
        <v>0.02</v>
      </c>
      <c r="S199" s="171">
        <v>0.01</v>
      </c>
      <c r="T199" s="171">
        <v>0.01</v>
      </c>
      <c r="U199" s="171">
        <v>0.01</v>
      </c>
      <c r="V199" s="171">
        <v>0.01</v>
      </c>
      <c r="W199" s="180">
        <v>0.01</v>
      </c>
      <c r="X199" s="180">
        <v>0</v>
      </c>
      <c r="Y199" s="180">
        <v>0.01</v>
      </c>
      <c r="Z199" s="181">
        <v>0.01</v>
      </c>
    </row>
    <row r="200" spans="1:26" x14ac:dyDescent="0.4">
      <c r="A200" s="104" t="s">
        <v>220</v>
      </c>
      <c r="B200" s="169">
        <v>184</v>
      </c>
      <c r="C200" s="87">
        <v>67</v>
      </c>
      <c r="D200" s="87">
        <v>117</v>
      </c>
      <c r="E200" s="87">
        <v>18</v>
      </c>
      <c r="F200" s="87">
        <v>25</v>
      </c>
      <c r="G200" s="87">
        <v>38</v>
      </c>
      <c r="H200" s="87">
        <v>102</v>
      </c>
      <c r="I200" s="87">
        <v>39</v>
      </c>
      <c r="J200" s="87">
        <v>91</v>
      </c>
      <c r="K200" s="87">
        <v>53</v>
      </c>
      <c r="L200" s="87">
        <v>15</v>
      </c>
      <c r="M200" s="87">
        <v>86</v>
      </c>
      <c r="N200" s="87">
        <v>10</v>
      </c>
      <c r="O200" s="87">
        <v>73</v>
      </c>
      <c r="P200" s="87">
        <v>44</v>
      </c>
      <c r="Q200" s="87">
        <v>48</v>
      </c>
      <c r="R200" s="87">
        <v>91</v>
      </c>
      <c r="S200" s="87">
        <v>53</v>
      </c>
      <c r="T200" s="87">
        <v>90</v>
      </c>
      <c r="U200" s="87">
        <v>1</v>
      </c>
      <c r="V200" s="87">
        <v>39</v>
      </c>
      <c r="W200" s="102">
        <v>170</v>
      </c>
      <c r="X200" s="102">
        <v>14</v>
      </c>
      <c r="Y200" s="102">
        <v>87</v>
      </c>
      <c r="Z200" s="182">
        <v>89</v>
      </c>
    </row>
    <row r="201" spans="1:26" x14ac:dyDescent="0.4">
      <c r="B201" s="170">
        <v>0.01</v>
      </c>
      <c r="C201" s="171">
        <v>0</v>
      </c>
      <c r="D201" s="171">
        <v>0.01</v>
      </c>
      <c r="E201" s="171">
        <v>0</v>
      </c>
      <c r="F201" s="171">
        <v>0</v>
      </c>
      <c r="G201" s="171">
        <v>0</v>
      </c>
      <c r="H201" s="171">
        <v>0.01</v>
      </c>
      <c r="I201" s="171">
        <v>0.01</v>
      </c>
      <c r="J201" s="171">
        <v>0.01</v>
      </c>
      <c r="K201" s="171">
        <v>0</v>
      </c>
      <c r="L201" s="171">
        <v>0</v>
      </c>
      <c r="M201" s="171">
        <v>0.01</v>
      </c>
      <c r="N201" s="171">
        <v>0</v>
      </c>
      <c r="O201" s="171">
        <v>0.01</v>
      </c>
      <c r="P201" s="171">
        <v>0</v>
      </c>
      <c r="Q201" s="171">
        <v>0</v>
      </c>
      <c r="R201" s="171">
        <v>0.01</v>
      </c>
      <c r="S201" s="171">
        <v>0.01</v>
      </c>
      <c r="T201" s="171">
        <v>0.01</v>
      </c>
      <c r="U201" s="171">
        <v>0</v>
      </c>
      <c r="V201" s="171">
        <v>0.01</v>
      </c>
      <c r="W201" s="180">
        <v>0.01</v>
      </c>
      <c r="X201" s="180">
        <v>0</v>
      </c>
      <c r="Y201" s="180">
        <v>0.01</v>
      </c>
      <c r="Z201" s="181">
        <v>0.01</v>
      </c>
    </row>
    <row r="202" spans="1:26" x14ac:dyDescent="0.4">
      <c r="A202" s="104" t="s">
        <v>221</v>
      </c>
      <c r="B202" s="169">
        <v>342</v>
      </c>
      <c r="C202" s="87">
        <v>151</v>
      </c>
      <c r="D202" s="87">
        <v>192</v>
      </c>
      <c r="E202" s="87">
        <v>38</v>
      </c>
      <c r="F202" s="87">
        <v>38</v>
      </c>
      <c r="G202" s="87">
        <v>93</v>
      </c>
      <c r="H202" s="87">
        <v>173</v>
      </c>
      <c r="I202" s="87">
        <v>77</v>
      </c>
      <c r="J202" s="87">
        <v>133</v>
      </c>
      <c r="K202" s="87">
        <v>133</v>
      </c>
      <c r="L202" s="87">
        <v>31</v>
      </c>
      <c r="M202" s="87">
        <v>131</v>
      </c>
      <c r="N202" s="87">
        <v>19</v>
      </c>
      <c r="O202" s="87">
        <v>161</v>
      </c>
      <c r="P202" s="87">
        <v>102</v>
      </c>
      <c r="Q202" s="87">
        <v>85</v>
      </c>
      <c r="R202" s="87">
        <v>155</v>
      </c>
      <c r="S202" s="87">
        <v>94</v>
      </c>
      <c r="T202" s="87">
        <v>165</v>
      </c>
      <c r="U202" s="87">
        <v>52</v>
      </c>
      <c r="V202" s="87">
        <v>32</v>
      </c>
      <c r="W202" s="102">
        <v>265</v>
      </c>
      <c r="X202" s="102">
        <v>70</v>
      </c>
      <c r="Y202" s="102">
        <v>123</v>
      </c>
      <c r="Z202" s="182">
        <v>191</v>
      </c>
    </row>
    <row r="203" spans="1:26" x14ac:dyDescent="0.4">
      <c r="B203" s="170">
        <v>0.01</v>
      </c>
      <c r="C203" s="171">
        <v>0.01</v>
      </c>
      <c r="D203" s="171">
        <v>0.01</v>
      </c>
      <c r="E203" s="171">
        <v>0.01</v>
      </c>
      <c r="F203" s="171">
        <v>0</v>
      </c>
      <c r="G203" s="171">
        <v>0.01</v>
      </c>
      <c r="H203" s="171">
        <v>0.02</v>
      </c>
      <c r="I203" s="171">
        <v>0.02</v>
      </c>
      <c r="J203" s="171">
        <v>0.01</v>
      </c>
      <c r="K203" s="171">
        <v>0.01</v>
      </c>
      <c r="L203" s="171">
        <v>0.01</v>
      </c>
      <c r="M203" s="171">
        <v>0.01</v>
      </c>
      <c r="N203" s="171">
        <v>0.01</v>
      </c>
      <c r="O203" s="171">
        <v>0.02</v>
      </c>
      <c r="P203" s="171">
        <v>0.01</v>
      </c>
      <c r="Q203" s="171">
        <v>0.01</v>
      </c>
      <c r="R203" s="171">
        <v>0.02</v>
      </c>
      <c r="S203" s="171">
        <v>0.02</v>
      </c>
      <c r="T203" s="171">
        <v>0.02</v>
      </c>
      <c r="U203" s="171">
        <v>0.01</v>
      </c>
      <c r="V203" s="171">
        <v>0.01</v>
      </c>
      <c r="W203" s="180">
        <v>0.02</v>
      </c>
      <c r="X203" s="180">
        <v>0.01</v>
      </c>
      <c r="Y203" s="180">
        <v>0.01</v>
      </c>
      <c r="Z203" s="181">
        <v>0.01</v>
      </c>
    </row>
    <row r="204" spans="1:26" x14ac:dyDescent="0.4">
      <c r="A204" s="104" t="s">
        <v>222</v>
      </c>
      <c r="B204" s="169">
        <v>332</v>
      </c>
      <c r="C204" s="87">
        <v>142</v>
      </c>
      <c r="D204" s="87">
        <v>189</v>
      </c>
      <c r="E204" s="87">
        <v>9</v>
      </c>
      <c r="F204" s="87">
        <v>40</v>
      </c>
      <c r="G204" s="87">
        <v>66</v>
      </c>
      <c r="H204" s="87">
        <v>218</v>
      </c>
      <c r="I204" s="87">
        <v>67</v>
      </c>
      <c r="J204" s="87">
        <v>155</v>
      </c>
      <c r="K204" s="87">
        <v>111</v>
      </c>
      <c r="L204" s="87">
        <v>17</v>
      </c>
      <c r="M204" s="87">
        <v>100</v>
      </c>
      <c r="N204" s="87">
        <v>22</v>
      </c>
      <c r="O204" s="87">
        <v>193</v>
      </c>
      <c r="P204" s="87">
        <v>75</v>
      </c>
      <c r="Q204" s="87">
        <v>70</v>
      </c>
      <c r="R204" s="87">
        <v>188</v>
      </c>
      <c r="S204" s="87">
        <v>79</v>
      </c>
      <c r="T204" s="87">
        <v>175</v>
      </c>
      <c r="U204" s="87">
        <v>37</v>
      </c>
      <c r="V204" s="87">
        <v>42</v>
      </c>
      <c r="W204" s="102">
        <v>271</v>
      </c>
      <c r="X204" s="102">
        <v>46</v>
      </c>
      <c r="Y204" s="102">
        <v>131</v>
      </c>
      <c r="Z204" s="182">
        <v>177</v>
      </c>
    </row>
    <row r="205" spans="1:26" x14ac:dyDescent="0.4">
      <c r="B205" s="170">
        <v>0.01</v>
      </c>
      <c r="C205" s="171">
        <v>0.01</v>
      </c>
      <c r="D205" s="171">
        <v>0.01</v>
      </c>
      <c r="E205" s="171">
        <v>0</v>
      </c>
      <c r="F205" s="171">
        <v>0.01</v>
      </c>
      <c r="G205" s="171">
        <v>0.01</v>
      </c>
      <c r="H205" s="171">
        <v>0.03</v>
      </c>
      <c r="I205" s="171">
        <v>0.02</v>
      </c>
      <c r="J205" s="171">
        <v>0.02</v>
      </c>
      <c r="K205" s="171">
        <v>0.01</v>
      </c>
      <c r="L205" s="171">
        <v>0.01</v>
      </c>
      <c r="M205" s="171">
        <v>0.01</v>
      </c>
      <c r="N205" s="171">
        <v>0.01</v>
      </c>
      <c r="O205" s="171">
        <v>0.03</v>
      </c>
      <c r="P205" s="171">
        <v>0.01</v>
      </c>
      <c r="Q205" s="171">
        <v>0.01</v>
      </c>
      <c r="R205" s="171">
        <v>0.03</v>
      </c>
      <c r="S205" s="171">
        <v>0.01</v>
      </c>
      <c r="T205" s="171">
        <v>0.02</v>
      </c>
      <c r="U205" s="171">
        <v>0.01</v>
      </c>
      <c r="V205" s="171">
        <v>0.01</v>
      </c>
      <c r="W205" s="180">
        <v>0.02</v>
      </c>
      <c r="X205" s="180">
        <v>0.01</v>
      </c>
      <c r="Y205" s="180">
        <v>0.01</v>
      </c>
      <c r="Z205" s="181">
        <v>0.01</v>
      </c>
    </row>
    <row r="206" spans="1:26" x14ac:dyDescent="0.4">
      <c r="A206" s="104" t="s">
        <v>223</v>
      </c>
      <c r="B206" s="169">
        <v>443</v>
      </c>
      <c r="C206" s="87">
        <v>194</v>
      </c>
      <c r="D206" s="87">
        <v>248</v>
      </c>
      <c r="E206" s="87">
        <v>57</v>
      </c>
      <c r="F206" s="87">
        <v>82</v>
      </c>
      <c r="G206" s="87">
        <v>99</v>
      </c>
      <c r="H206" s="87">
        <v>206</v>
      </c>
      <c r="I206" s="87">
        <v>83</v>
      </c>
      <c r="J206" s="87">
        <v>176</v>
      </c>
      <c r="K206" s="87">
        <v>184</v>
      </c>
      <c r="L206" s="87">
        <v>43</v>
      </c>
      <c r="M206" s="87">
        <v>153</v>
      </c>
      <c r="N206" s="87">
        <v>39</v>
      </c>
      <c r="O206" s="87">
        <v>208</v>
      </c>
      <c r="P206" s="87">
        <v>146</v>
      </c>
      <c r="Q206" s="87">
        <v>91</v>
      </c>
      <c r="R206" s="87">
        <v>206</v>
      </c>
      <c r="S206" s="87">
        <v>170</v>
      </c>
      <c r="T206" s="87">
        <v>159</v>
      </c>
      <c r="U206" s="87">
        <v>60</v>
      </c>
      <c r="V206" s="87">
        <v>54</v>
      </c>
      <c r="W206" s="102">
        <v>340</v>
      </c>
      <c r="X206" s="102">
        <v>75</v>
      </c>
      <c r="Y206" s="102">
        <v>202</v>
      </c>
      <c r="Z206" s="182">
        <v>213</v>
      </c>
    </row>
    <row r="207" spans="1:26" x14ac:dyDescent="0.4">
      <c r="B207" s="170">
        <v>0.02</v>
      </c>
      <c r="C207" s="171">
        <v>0.01</v>
      </c>
      <c r="D207" s="171">
        <v>0.02</v>
      </c>
      <c r="E207" s="171">
        <v>0.02</v>
      </c>
      <c r="F207" s="171">
        <v>0.01</v>
      </c>
      <c r="G207" s="171">
        <v>0.01</v>
      </c>
      <c r="H207" s="171">
        <v>0.03</v>
      </c>
      <c r="I207" s="171">
        <v>0.02</v>
      </c>
      <c r="J207" s="171">
        <v>0.02</v>
      </c>
      <c r="K207" s="171">
        <v>0.01</v>
      </c>
      <c r="L207" s="171">
        <v>0.01</v>
      </c>
      <c r="M207" s="171">
        <v>0.01</v>
      </c>
      <c r="N207" s="171">
        <v>0.01</v>
      </c>
      <c r="O207" s="171">
        <v>0.03</v>
      </c>
      <c r="P207" s="171">
        <v>0.01</v>
      </c>
      <c r="Q207" s="171">
        <v>0.01</v>
      </c>
      <c r="R207" s="171">
        <v>0.03</v>
      </c>
      <c r="S207" s="171">
        <v>0.03</v>
      </c>
      <c r="T207" s="171">
        <v>0.02</v>
      </c>
      <c r="U207" s="171">
        <v>0.01</v>
      </c>
      <c r="V207" s="171">
        <v>0.01</v>
      </c>
      <c r="W207" s="180">
        <v>0.02</v>
      </c>
      <c r="X207" s="180">
        <v>0.01</v>
      </c>
      <c r="Y207" s="180">
        <v>0.02</v>
      </c>
      <c r="Z207" s="181">
        <v>0.01</v>
      </c>
    </row>
    <row r="208" spans="1:26" x14ac:dyDescent="0.4">
      <c r="A208" s="104" t="s">
        <v>224</v>
      </c>
      <c r="B208" s="169">
        <v>278</v>
      </c>
      <c r="C208" s="87">
        <v>123</v>
      </c>
      <c r="D208" s="87">
        <v>155</v>
      </c>
      <c r="E208" s="87">
        <v>27</v>
      </c>
      <c r="F208" s="87">
        <v>77</v>
      </c>
      <c r="G208" s="87">
        <v>50</v>
      </c>
      <c r="H208" s="87">
        <v>123</v>
      </c>
      <c r="I208" s="87">
        <v>56</v>
      </c>
      <c r="J208" s="87">
        <v>112</v>
      </c>
      <c r="K208" s="87">
        <v>109</v>
      </c>
      <c r="L208" s="87">
        <v>23</v>
      </c>
      <c r="M208" s="87">
        <v>132</v>
      </c>
      <c r="N208" s="87">
        <v>14</v>
      </c>
      <c r="O208" s="87">
        <v>101</v>
      </c>
      <c r="P208" s="87">
        <v>126</v>
      </c>
      <c r="Q208" s="87">
        <v>64</v>
      </c>
      <c r="R208" s="87">
        <v>89</v>
      </c>
      <c r="S208" s="87">
        <v>79</v>
      </c>
      <c r="T208" s="87">
        <v>144</v>
      </c>
      <c r="U208" s="87">
        <v>18</v>
      </c>
      <c r="V208" s="87">
        <v>37</v>
      </c>
      <c r="W208" s="102">
        <v>212</v>
      </c>
      <c r="X208" s="102">
        <v>58</v>
      </c>
      <c r="Y208" s="102">
        <v>111</v>
      </c>
      <c r="Z208" s="182">
        <v>157</v>
      </c>
    </row>
    <row r="209" spans="1:26" x14ac:dyDescent="0.4">
      <c r="B209" s="170">
        <v>0.01</v>
      </c>
      <c r="C209" s="171">
        <v>0.01</v>
      </c>
      <c r="D209" s="171">
        <v>0.01</v>
      </c>
      <c r="E209" s="171">
        <v>0.01</v>
      </c>
      <c r="F209" s="171">
        <v>0.01</v>
      </c>
      <c r="G209" s="171">
        <v>0.01</v>
      </c>
      <c r="H209" s="171">
        <v>0.02</v>
      </c>
      <c r="I209" s="171">
        <v>0.02</v>
      </c>
      <c r="J209" s="171">
        <v>0.01</v>
      </c>
      <c r="K209" s="171">
        <v>0.01</v>
      </c>
      <c r="L209" s="171">
        <v>0.01</v>
      </c>
      <c r="M209" s="171">
        <v>0.01</v>
      </c>
      <c r="N209" s="171">
        <v>0.01</v>
      </c>
      <c r="O209" s="171">
        <v>0.01</v>
      </c>
      <c r="P209" s="171">
        <v>0.01</v>
      </c>
      <c r="Q209" s="171">
        <v>0.01</v>
      </c>
      <c r="R209" s="171">
        <v>0.01</v>
      </c>
      <c r="S209" s="171">
        <v>0.01</v>
      </c>
      <c r="T209" s="171">
        <v>0.01</v>
      </c>
      <c r="U209" s="171">
        <v>0</v>
      </c>
      <c r="V209" s="171">
        <v>0.01</v>
      </c>
      <c r="W209" s="180">
        <v>0.01</v>
      </c>
      <c r="X209" s="180">
        <v>0.01</v>
      </c>
      <c r="Y209" s="180">
        <v>0.01</v>
      </c>
      <c r="Z209" s="181">
        <v>0.01</v>
      </c>
    </row>
    <row r="210" spans="1:26" x14ac:dyDescent="0.4">
      <c r="A210" s="104" t="s">
        <v>225</v>
      </c>
      <c r="B210" s="169">
        <v>21</v>
      </c>
      <c r="C210" s="87">
        <v>4</v>
      </c>
      <c r="D210" s="87">
        <v>17</v>
      </c>
      <c r="E210" s="87">
        <v>4</v>
      </c>
      <c r="F210" s="87">
        <v>4</v>
      </c>
      <c r="G210" s="87">
        <v>6</v>
      </c>
      <c r="H210" s="87">
        <v>7</v>
      </c>
      <c r="I210" s="87">
        <v>0</v>
      </c>
      <c r="J210" s="87">
        <v>12</v>
      </c>
      <c r="K210" s="87">
        <v>9</v>
      </c>
      <c r="L210" s="87">
        <v>0</v>
      </c>
      <c r="M210" s="87">
        <v>13</v>
      </c>
      <c r="N210" s="87">
        <v>0</v>
      </c>
      <c r="O210" s="87">
        <v>7</v>
      </c>
      <c r="P210" s="87">
        <v>5</v>
      </c>
      <c r="Q210" s="87">
        <v>0</v>
      </c>
      <c r="R210" s="87">
        <v>16</v>
      </c>
      <c r="S210" s="87">
        <v>0</v>
      </c>
      <c r="T210" s="87">
        <v>14</v>
      </c>
      <c r="U210" s="87">
        <v>0</v>
      </c>
      <c r="V210" s="87">
        <v>7</v>
      </c>
      <c r="W210" s="102">
        <v>7</v>
      </c>
      <c r="X210" s="102">
        <v>14</v>
      </c>
      <c r="Y210" s="102">
        <v>6</v>
      </c>
      <c r="Z210" s="182">
        <v>14</v>
      </c>
    </row>
    <row r="211" spans="1:26" x14ac:dyDescent="0.4">
      <c r="B211" s="170">
        <v>0</v>
      </c>
      <c r="C211" s="171">
        <v>0</v>
      </c>
      <c r="D211" s="171">
        <v>0</v>
      </c>
      <c r="E211" s="171">
        <v>0</v>
      </c>
      <c r="F211" s="171">
        <v>0</v>
      </c>
      <c r="G211" s="171">
        <v>0</v>
      </c>
      <c r="H211" s="171">
        <v>0</v>
      </c>
      <c r="I211" s="87">
        <v>0</v>
      </c>
      <c r="J211" s="171">
        <v>0</v>
      </c>
      <c r="K211" s="171">
        <v>0</v>
      </c>
      <c r="L211" s="87">
        <v>0</v>
      </c>
      <c r="M211" s="171">
        <v>0</v>
      </c>
      <c r="N211" s="87">
        <v>0</v>
      </c>
      <c r="O211" s="171">
        <v>0</v>
      </c>
      <c r="P211" s="171">
        <v>0</v>
      </c>
      <c r="Q211" s="87">
        <v>0</v>
      </c>
      <c r="R211" s="171">
        <v>0</v>
      </c>
      <c r="S211" s="87">
        <v>0</v>
      </c>
      <c r="T211" s="171">
        <v>0</v>
      </c>
      <c r="U211" s="87">
        <v>0</v>
      </c>
      <c r="V211" s="171">
        <v>0</v>
      </c>
      <c r="W211" s="180">
        <v>0</v>
      </c>
      <c r="X211" s="180">
        <v>0</v>
      </c>
      <c r="Y211" s="180">
        <v>0</v>
      </c>
      <c r="Z211" s="181">
        <v>0</v>
      </c>
    </row>
    <row r="212" spans="1:26" x14ac:dyDescent="0.4">
      <c r="A212" s="104" t="s">
        <v>226</v>
      </c>
      <c r="B212" s="169">
        <v>107</v>
      </c>
      <c r="C212" s="87">
        <v>107</v>
      </c>
      <c r="D212" s="87">
        <v>0</v>
      </c>
      <c r="E212" s="87">
        <v>0</v>
      </c>
      <c r="F212" s="87">
        <v>0</v>
      </c>
      <c r="G212" s="87">
        <v>0</v>
      </c>
      <c r="H212" s="87">
        <v>107</v>
      </c>
      <c r="I212" s="87">
        <v>107</v>
      </c>
      <c r="J212" s="87">
        <v>0</v>
      </c>
      <c r="K212" s="87">
        <v>0</v>
      </c>
      <c r="L212" s="87">
        <v>0</v>
      </c>
      <c r="M212" s="87">
        <v>0</v>
      </c>
      <c r="N212" s="87">
        <v>0</v>
      </c>
      <c r="O212" s="87">
        <v>107</v>
      </c>
      <c r="P212" s="87">
        <v>107</v>
      </c>
      <c r="Q212" s="87">
        <v>0</v>
      </c>
      <c r="R212" s="87">
        <v>0</v>
      </c>
      <c r="S212" s="87">
        <v>107</v>
      </c>
      <c r="T212" s="87">
        <v>0</v>
      </c>
      <c r="U212" s="87">
        <v>0</v>
      </c>
      <c r="V212" s="87">
        <v>0</v>
      </c>
      <c r="W212" s="102">
        <v>107</v>
      </c>
      <c r="X212" s="102">
        <v>0</v>
      </c>
      <c r="Y212" s="102">
        <v>107</v>
      </c>
      <c r="Z212" s="182">
        <v>0</v>
      </c>
    </row>
    <row r="213" spans="1:26" x14ac:dyDescent="0.4">
      <c r="B213" s="170">
        <v>0</v>
      </c>
      <c r="C213" s="171">
        <v>0.01</v>
      </c>
      <c r="D213" s="87">
        <v>0</v>
      </c>
      <c r="E213" s="87">
        <v>0</v>
      </c>
      <c r="F213" s="87">
        <v>0</v>
      </c>
      <c r="G213" s="87">
        <v>0</v>
      </c>
      <c r="H213" s="171">
        <v>0.01</v>
      </c>
      <c r="I213" s="171">
        <v>0.03</v>
      </c>
      <c r="J213" s="87">
        <v>0</v>
      </c>
      <c r="K213" s="87">
        <v>0</v>
      </c>
      <c r="L213" s="87">
        <v>0</v>
      </c>
      <c r="M213" s="87">
        <v>0</v>
      </c>
      <c r="N213" s="87">
        <v>0</v>
      </c>
      <c r="O213" s="171">
        <v>0.02</v>
      </c>
      <c r="P213" s="171">
        <v>0.01</v>
      </c>
      <c r="Q213" s="87">
        <v>0</v>
      </c>
      <c r="R213" s="87">
        <v>0</v>
      </c>
      <c r="S213" s="171">
        <v>0.02</v>
      </c>
      <c r="T213" s="87">
        <v>0</v>
      </c>
      <c r="U213" s="87">
        <v>0</v>
      </c>
      <c r="V213" s="87">
        <v>0</v>
      </c>
      <c r="W213" s="180">
        <v>0.01</v>
      </c>
      <c r="X213" s="102">
        <v>0</v>
      </c>
      <c r="Y213" s="180">
        <v>0.01</v>
      </c>
      <c r="Z213" s="182">
        <v>0</v>
      </c>
    </row>
    <row r="214" spans="1:26" x14ac:dyDescent="0.4">
      <c r="A214" s="104" t="s">
        <v>227</v>
      </c>
      <c r="B214" s="169">
        <v>76</v>
      </c>
      <c r="C214" s="87">
        <v>32</v>
      </c>
      <c r="D214" s="87">
        <v>45</v>
      </c>
      <c r="E214" s="87">
        <v>5</v>
      </c>
      <c r="F214" s="87">
        <v>20</v>
      </c>
      <c r="G214" s="87">
        <v>20</v>
      </c>
      <c r="H214" s="87">
        <v>32</v>
      </c>
      <c r="I214" s="87">
        <v>4</v>
      </c>
      <c r="J214" s="87">
        <v>39</v>
      </c>
      <c r="K214" s="87">
        <v>33</v>
      </c>
      <c r="L214" s="87">
        <v>4</v>
      </c>
      <c r="M214" s="87">
        <v>46</v>
      </c>
      <c r="N214" s="87">
        <v>2</v>
      </c>
      <c r="O214" s="87">
        <v>23</v>
      </c>
      <c r="P214" s="87">
        <v>13</v>
      </c>
      <c r="Q214" s="87">
        <v>34</v>
      </c>
      <c r="R214" s="87">
        <v>29</v>
      </c>
      <c r="S214" s="87">
        <v>10</v>
      </c>
      <c r="T214" s="87">
        <v>30</v>
      </c>
      <c r="U214" s="87">
        <v>16</v>
      </c>
      <c r="V214" s="87">
        <v>19</v>
      </c>
      <c r="W214" s="102">
        <v>38</v>
      </c>
      <c r="X214" s="102">
        <v>35</v>
      </c>
      <c r="Y214" s="102">
        <v>25</v>
      </c>
      <c r="Z214" s="182">
        <v>47</v>
      </c>
    </row>
    <row r="215" spans="1:26" x14ac:dyDescent="0.4">
      <c r="B215" s="170">
        <v>0</v>
      </c>
      <c r="C215" s="171">
        <v>0</v>
      </c>
      <c r="D215" s="171">
        <v>0</v>
      </c>
      <c r="E215" s="171">
        <v>0</v>
      </c>
      <c r="F215" s="171">
        <v>0</v>
      </c>
      <c r="G215" s="171">
        <v>0</v>
      </c>
      <c r="H215" s="171">
        <v>0</v>
      </c>
      <c r="I215" s="171">
        <v>0</v>
      </c>
      <c r="J215" s="171">
        <v>0</v>
      </c>
      <c r="K215" s="171">
        <v>0</v>
      </c>
      <c r="L215" s="171">
        <v>0</v>
      </c>
      <c r="M215" s="171">
        <v>0</v>
      </c>
      <c r="N215" s="171">
        <v>0</v>
      </c>
      <c r="O215" s="171">
        <v>0</v>
      </c>
      <c r="P215" s="171">
        <v>0</v>
      </c>
      <c r="Q215" s="171">
        <v>0</v>
      </c>
      <c r="R215" s="171">
        <v>0</v>
      </c>
      <c r="S215" s="171">
        <v>0</v>
      </c>
      <c r="T215" s="171">
        <v>0</v>
      </c>
      <c r="U215" s="171">
        <v>0</v>
      </c>
      <c r="V215" s="171">
        <v>0</v>
      </c>
      <c r="W215" s="180">
        <v>0</v>
      </c>
      <c r="X215" s="180">
        <v>0</v>
      </c>
      <c r="Y215" s="180">
        <v>0</v>
      </c>
      <c r="Z215" s="181">
        <v>0</v>
      </c>
    </row>
    <row r="216" spans="1:26" x14ac:dyDescent="0.4">
      <c r="A216" s="104" t="s">
        <v>228</v>
      </c>
      <c r="B216" s="169">
        <v>96</v>
      </c>
      <c r="C216" s="87">
        <v>46</v>
      </c>
      <c r="D216" s="87">
        <v>47</v>
      </c>
      <c r="E216" s="87">
        <v>13</v>
      </c>
      <c r="F216" s="87">
        <v>24</v>
      </c>
      <c r="G216" s="87">
        <v>28</v>
      </c>
      <c r="H216" s="87">
        <v>31</v>
      </c>
      <c r="I216" s="87">
        <v>8</v>
      </c>
      <c r="J216" s="87">
        <v>45</v>
      </c>
      <c r="K216" s="87">
        <v>43</v>
      </c>
      <c r="L216" s="87">
        <v>13</v>
      </c>
      <c r="M216" s="87">
        <v>51</v>
      </c>
      <c r="N216" s="87">
        <v>5</v>
      </c>
      <c r="O216" s="87">
        <v>26</v>
      </c>
      <c r="P216" s="87">
        <v>34</v>
      </c>
      <c r="Q216" s="87">
        <v>42</v>
      </c>
      <c r="R216" s="87">
        <v>20</v>
      </c>
      <c r="S216" s="87">
        <v>22</v>
      </c>
      <c r="T216" s="87">
        <v>32</v>
      </c>
      <c r="U216" s="87">
        <v>15</v>
      </c>
      <c r="V216" s="87">
        <v>27</v>
      </c>
      <c r="W216" s="102">
        <v>49</v>
      </c>
      <c r="X216" s="102">
        <v>44</v>
      </c>
      <c r="Y216" s="102">
        <v>29</v>
      </c>
      <c r="Z216" s="182">
        <v>61</v>
      </c>
    </row>
    <row r="217" spans="1:26" x14ac:dyDescent="0.4">
      <c r="B217" s="170">
        <v>0</v>
      </c>
      <c r="C217" s="171">
        <v>0</v>
      </c>
      <c r="D217" s="171">
        <v>0</v>
      </c>
      <c r="E217" s="171">
        <v>0</v>
      </c>
      <c r="F217" s="171">
        <v>0</v>
      </c>
      <c r="G217" s="171">
        <v>0</v>
      </c>
      <c r="H217" s="171">
        <v>0</v>
      </c>
      <c r="I217" s="171">
        <v>0</v>
      </c>
      <c r="J217" s="171">
        <v>0.01</v>
      </c>
      <c r="K217" s="171">
        <v>0</v>
      </c>
      <c r="L217" s="171">
        <v>0</v>
      </c>
      <c r="M217" s="171">
        <v>0</v>
      </c>
      <c r="N217" s="171">
        <v>0</v>
      </c>
      <c r="O217" s="171">
        <v>0</v>
      </c>
      <c r="P217" s="171">
        <v>0</v>
      </c>
      <c r="Q217" s="171">
        <v>0</v>
      </c>
      <c r="R217" s="171">
        <v>0</v>
      </c>
      <c r="S217" s="171">
        <v>0</v>
      </c>
      <c r="T217" s="171">
        <v>0</v>
      </c>
      <c r="U217" s="171">
        <v>0</v>
      </c>
      <c r="V217" s="171">
        <v>0</v>
      </c>
      <c r="W217" s="180">
        <v>0</v>
      </c>
      <c r="X217" s="180">
        <v>0.01</v>
      </c>
      <c r="Y217" s="180">
        <v>0</v>
      </c>
      <c r="Z217" s="181">
        <v>0</v>
      </c>
    </row>
    <row r="218" spans="1:26" x14ac:dyDescent="0.4">
      <c r="A218" s="104" t="s">
        <v>229</v>
      </c>
      <c r="B218" s="169">
        <v>65</v>
      </c>
      <c r="C218" s="87">
        <v>34</v>
      </c>
      <c r="D218" s="87">
        <v>31</v>
      </c>
      <c r="E218" s="87">
        <v>15</v>
      </c>
      <c r="F218" s="87">
        <v>14</v>
      </c>
      <c r="G218" s="87">
        <v>20</v>
      </c>
      <c r="H218" s="87">
        <v>16</v>
      </c>
      <c r="I218" s="87">
        <v>4</v>
      </c>
      <c r="J218" s="87">
        <v>25</v>
      </c>
      <c r="K218" s="87">
        <v>36</v>
      </c>
      <c r="L218" s="87">
        <v>5</v>
      </c>
      <c r="M218" s="87">
        <v>39</v>
      </c>
      <c r="N218" s="87">
        <v>2</v>
      </c>
      <c r="O218" s="87">
        <v>14</v>
      </c>
      <c r="P218" s="87">
        <v>57</v>
      </c>
      <c r="Q218" s="87">
        <v>5</v>
      </c>
      <c r="R218" s="87">
        <v>3</v>
      </c>
      <c r="S218" s="87">
        <v>10</v>
      </c>
      <c r="T218" s="87">
        <v>21</v>
      </c>
      <c r="U218" s="87">
        <v>10</v>
      </c>
      <c r="V218" s="87">
        <v>23</v>
      </c>
      <c r="W218" s="102">
        <v>29</v>
      </c>
      <c r="X218" s="102">
        <v>33</v>
      </c>
      <c r="Y218" s="102">
        <v>22</v>
      </c>
      <c r="Z218" s="182">
        <v>41</v>
      </c>
    </row>
    <row r="219" spans="1:26" x14ac:dyDescent="0.4">
      <c r="B219" s="170">
        <v>0</v>
      </c>
      <c r="C219" s="171">
        <v>0</v>
      </c>
      <c r="D219" s="171">
        <v>0</v>
      </c>
      <c r="E219" s="171">
        <v>0</v>
      </c>
      <c r="F219" s="171">
        <v>0</v>
      </c>
      <c r="G219" s="171">
        <v>0</v>
      </c>
      <c r="H219" s="171">
        <v>0</v>
      </c>
      <c r="I219" s="171">
        <v>0</v>
      </c>
      <c r="J219" s="171">
        <v>0</v>
      </c>
      <c r="K219" s="171">
        <v>0</v>
      </c>
      <c r="L219" s="171">
        <v>0</v>
      </c>
      <c r="M219" s="171">
        <v>0</v>
      </c>
      <c r="N219" s="171">
        <v>0</v>
      </c>
      <c r="O219" s="171">
        <v>0</v>
      </c>
      <c r="P219" s="171">
        <v>0.01</v>
      </c>
      <c r="Q219" s="171">
        <v>0</v>
      </c>
      <c r="R219" s="171">
        <v>0</v>
      </c>
      <c r="S219" s="171">
        <v>0</v>
      </c>
      <c r="T219" s="171">
        <v>0</v>
      </c>
      <c r="U219" s="171">
        <v>0</v>
      </c>
      <c r="V219" s="171">
        <v>0</v>
      </c>
      <c r="W219" s="180">
        <v>0</v>
      </c>
      <c r="X219" s="180">
        <v>0</v>
      </c>
      <c r="Y219" s="180">
        <v>0</v>
      </c>
      <c r="Z219" s="181">
        <v>0</v>
      </c>
    </row>
    <row r="220" spans="1:26" x14ac:dyDescent="0.4">
      <c r="A220" s="104" t="s">
        <v>230</v>
      </c>
      <c r="B220" s="169">
        <v>62</v>
      </c>
      <c r="C220" s="87">
        <v>35</v>
      </c>
      <c r="D220" s="87">
        <v>27</v>
      </c>
      <c r="E220" s="87">
        <v>5</v>
      </c>
      <c r="F220" s="87">
        <v>13</v>
      </c>
      <c r="G220" s="87">
        <v>24</v>
      </c>
      <c r="H220" s="87">
        <v>19</v>
      </c>
      <c r="I220" s="87">
        <v>7</v>
      </c>
      <c r="J220" s="87">
        <v>26</v>
      </c>
      <c r="K220" s="87">
        <v>29</v>
      </c>
      <c r="L220" s="87">
        <v>5</v>
      </c>
      <c r="M220" s="87">
        <v>34</v>
      </c>
      <c r="N220" s="87">
        <v>5</v>
      </c>
      <c r="O220" s="87">
        <v>18</v>
      </c>
      <c r="P220" s="87">
        <v>4</v>
      </c>
      <c r="Q220" s="87">
        <v>29</v>
      </c>
      <c r="R220" s="87">
        <v>30</v>
      </c>
      <c r="S220" s="87">
        <v>10</v>
      </c>
      <c r="T220" s="87">
        <v>16</v>
      </c>
      <c r="U220" s="87">
        <v>13</v>
      </c>
      <c r="V220" s="87">
        <v>23</v>
      </c>
      <c r="W220" s="102">
        <v>38</v>
      </c>
      <c r="X220" s="102">
        <v>23</v>
      </c>
      <c r="Y220" s="102">
        <v>23</v>
      </c>
      <c r="Z220" s="182">
        <v>37</v>
      </c>
    </row>
    <row r="221" spans="1:26" x14ac:dyDescent="0.4">
      <c r="B221" s="170">
        <v>0</v>
      </c>
      <c r="C221" s="171">
        <v>0</v>
      </c>
      <c r="D221" s="171">
        <v>0</v>
      </c>
      <c r="E221" s="171">
        <v>0</v>
      </c>
      <c r="F221" s="171">
        <v>0</v>
      </c>
      <c r="G221" s="171">
        <v>0</v>
      </c>
      <c r="H221" s="171">
        <v>0</v>
      </c>
      <c r="I221" s="171">
        <v>0</v>
      </c>
      <c r="J221" s="171">
        <v>0</v>
      </c>
      <c r="K221" s="171">
        <v>0</v>
      </c>
      <c r="L221" s="171">
        <v>0</v>
      </c>
      <c r="M221" s="171">
        <v>0</v>
      </c>
      <c r="N221" s="171">
        <v>0</v>
      </c>
      <c r="O221" s="171">
        <v>0</v>
      </c>
      <c r="P221" s="171">
        <v>0</v>
      </c>
      <c r="Q221" s="171">
        <v>0</v>
      </c>
      <c r="R221" s="171">
        <v>0</v>
      </c>
      <c r="S221" s="171">
        <v>0</v>
      </c>
      <c r="T221" s="171">
        <v>0</v>
      </c>
      <c r="U221" s="171">
        <v>0</v>
      </c>
      <c r="V221" s="171">
        <v>0</v>
      </c>
      <c r="W221" s="180">
        <v>0</v>
      </c>
      <c r="X221" s="180">
        <v>0</v>
      </c>
      <c r="Y221" s="180">
        <v>0</v>
      </c>
      <c r="Z221" s="181">
        <v>0</v>
      </c>
    </row>
    <row r="222" spans="1:26" x14ac:dyDescent="0.4">
      <c r="A222" s="104" t="s">
        <v>231</v>
      </c>
      <c r="B222" s="169">
        <v>115</v>
      </c>
      <c r="C222" s="87">
        <v>57</v>
      </c>
      <c r="D222" s="87">
        <v>56</v>
      </c>
      <c r="E222" s="87">
        <v>27</v>
      </c>
      <c r="F222" s="87">
        <v>39</v>
      </c>
      <c r="G222" s="87">
        <v>21</v>
      </c>
      <c r="H222" s="87">
        <v>28</v>
      </c>
      <c r="I222" s="87">
        <v>14</v>
      </c>
      <c r="J222" s="87">
        <v>45</v>
      </c>
      <c r="K222" s="87">
        <v>56</v>
      </c>
      <c r="L222" s="87">
        <v>19</v>
      </c>
      <c r="M222" s="87">
        <v>59</v>
      </c>
      <c r="N222" s="87">
        <v>6</v>
      </c>
      <c r="O222" s="87">
        <v>25</v>
      </c>
      <c r="P222" s="87">
        <v>93</v>
      </c>
      <c r="Q222" s="87">
        <v>12</v>
      </c>
      <c r="R222" s="87">
        <v>9</v>
      </c>
      <c r="S222" s="87">
        <v>28</v>
      </c>
      <c r="T222" s="87">
        <v>33</v>
      </c>
      <c r="U222" s="87">
        <v>14</v>
      </c>
      <c r="V222" s="87">
        <v>40</v>
      </c>
      <c r="W222" s="102">
        <v>64</v>
      </c>
      <c r="X222" s="102">
        <v>44</v>
      </c>
      <c r="Y222" s="102">
        <v>44</v>
      </c>
      <c r="Z222" s="182">
        <v>60</v>
      </c>
    </row>
    <row r="223" spans="1:26" x14ac:dyDescent="0.4">
      <c r="B223" s="170">
        <v>0</v>
      </c>
      <c r="C223" s="171">
        <v>0</v>
      </c>
      <c r="D223" s="171">
        <v>0</v>
      </c>
      <c r="E223" s="171">
        <v>0.01</v>
      </c>
      <c r="F223" s="171">
        <v>0.01</v>
      </c>
      <c r="G223" s="171">
        <v>0</v>
      </c>
      <c r="H223" s="171">
        <v>0</v>
      </c>
      <c r="I223" s="171">
        <v>0</v>
      </c>
      <c r="J223" s="171">
        <v>0.01</v>
      </c>
      <c r="K223" s="171">
        <v>0</v>
      </c>
      <c r="L223" s="171">
        <v>0.01</v>
      </c>
      <c r="M223" s="171">
        <v>0</v>
      </c>
      <c r="N223" s="171">
        <v>0</v>
      </c>
      <c r="O223" s="171">
        <v>0</v>
      </c>
      <c r="P223" s="171">
        <v>0.01</v>
      </c>
      <c r="Q223" s="171">
        <v>0</v>
      </c>
      <c r="R223" s="171">
        <v>0</v>
      </c>
      <c r="S223" s="171">
        <v>0</v>
      </c>
      <c r="T223" s="171">
        <v>0</v>
      </c>
      <c r="U223" s="171">
        <v>0</v>
      </c>
      <c r="V223" s="171">
        <v>0.01</v>
      </c>
      <c r="W223" s="180">
        <v>0</v>
      </c>
      <c r="X223" s="180">
        <v>0.01</v>
      </c>
      <c r="Y223" s="180">
        <v>0</v>
      </c>
      <c r="Z223" s="181">
        <v>0</v>
      </c>
    </row>
    <row r="224" spans="1:26" x14ac:dyDescent="0.4">
      <c r="A224" s="104" t="s">
        <v>232</v>
      </c>
      <c r="B224" s="169">
        <v>93</v>
      </c>
      <c r="C224" s="87">
        <v>43</v>
      </c>
      <c r="D224" s="87">
        <v>48</v>
      </c>
      <c r="E224" s="87">
        <v>12</v>
      </c>
      <c r="F224" s="87">
        <v>22</v>
      </c>
      <c r="G224" s="87">
        <v>30</v>
      </c>
      <c r="H224" s="87">
        <v>28</v>
      </c>
      <c r="I224" s="87">
        <v>17</v>
      </c>
      <c r="J224" s="87">
        <v>38</v>
      </c>
      <c r="K224" s="87">
        <v>38</v>
      </c>
      <c r="L224" s="87">
        <v>5</v>
      </c>
      <c r="M224" s="87">
        <v>52</v>
      </c>
      <c r="N224" s="87">
        <v>6</v>
      </c>
      <c r="O224" s="87">
        <v>26</v>
      </c>
      <c r="P224" s="87">
        <v>12</v>
      </c>
      <c r="Q224" s="87">
        <v>53</v>
      </c>
      <c r="R224" s="87">
        <v>26</v>
      </c>
      <c r="S224" s="87">
        <v>17</v>
      </c>
      <c r="T224" s="87">
        <v>29</v>
      </c>
      <c r="U224" s="87">
        <v>25</v>
      </c>
      <c r="V224" s="87">
        <v>22</v>
      </c>
      <c r="W224" s="102">
        <v>52</v>
      </c>
      <c r="X224" s="102">
        <v>35</v>
      </c>
      <c r="Y224" s="102">
        <v>34</v>
      </c>
      <c r="Z224" s="182">
        <v>47</v>
      </c>
    </row>
    <row r="225" spans="1:26" x14ac:dyDescent="0.4">
      <c r="B225" s="170">
        <v>0</v>
      </c>
      <c r="C225" s="171">
        <v>0</v>
      </c>
      <c r="D225" s="171">
        <v>0</v>
      </c>
      <c r="E225" s="171">
        <v>0</v>
      </c>
      <c r="F225" s="171">
        <v>0</v>
      </c>
      <c r="G225" s="171">
        <v>0</v>
      </c>
      <c r="H225" s="171">
        <v>0</v>
      </c>
      <c r="I225" s="171">
        <v>0</v>
      </c>
      <c r="J225" s="171">
        <v>0</v>
      </c>
      <c r="K225" s="171">
        <v>0</v>
      </c>
      <c r="L225" s="171">
        <v>0</v>
      </c>
      <c r="M225" s="171">
        <v>0</v>
      </c>
      <c r="N225" s="171">
        <v>0</v>
      </c>
      <c r="O225" s="171">
        <v>0</v>
      </c>
      <c r="P225" s="171">
        <v>0</v>
      </c>
      <c r="Q225" s="171">
        <v>0.01</v>
      </c>
      <c r="R225" s="171">
        <v>0</v>
      </c>
      <c r="S225" s="171">
        <v>0</v>
      </c>
      <c r="T225" s="171">
        <v>0</v>
      </c>
      <c r="U225" s="171">
        <v>0.01</v>
      </c>
      <c r="V225" s="171">
        <v>0</v>
      </c>
      <c r="W225" s="180">
        <v>0</v>
      </c>
      <c r="X225" s="180">
        <v>0</v>
      </c>
      <c r="Y225" s="180">
        <v>0</v>
      </c>
      <c r="Z225" s="181">
        <v>0</v>
      </c>
    </row>
    <row r="226" spans="1:26" x14ac:dyDescent="0.4">
      <c r="A226" s="104" t="s">
        <v>233</v>
      </c>
      <c r="B226" s="169">
        <v>70</v>
      </c>
      <c r="C226" s="87">
        <v>29</v>
      </c>
      <c r="D226" s="87">
        <v>40</v>
      </c>
      <c r="E226" s="87">
        <v>7</v>
      </c>
      <c r="F226" s="87">
        <v>14</v>
      </c>
      <c r="G226" s="87">
        <v>20</v>
      </c>
      <c r="H226" s="87">
        <v>29</v>
      </c>
      <c r="I226" s="87">
        <v>18</v>
      </c>
      <c r="J226" s="87">
        <v>31</v>
      </c>
      <c r="K226" s="87">
        <v>21</v>
      </c>
      <c r="L226" s="87">
        <v>5</v>
      </c>
      <c r="M226" s="87">
        <v>30</v>
      </c>
      <c r="N226" s="87">
        <v>10</v>
      </c>
      <c r="O226" s="87">
        <v>23</v>
      </c>
      <c r="P226" s="87">
        <v>15</v>
      </c>
      <c r="Q226" s="87">
        <v>30</v>
      </c>
      <c r="R226" s="87">
        <v>24</v>
      </c>
      <c r="S226" s="87">
        <v>19</v>
      </c>
      <c r="T226" s="87">
        <v>22</v>
      </c>
      <c r="U226" s="87">
        <v>12</v>
      </c>
      <c r="V226" s="87">
        <v>17</v>
      </c>
      <c r="W226" s="102">
        <v>39</v>
      </c>
      <c r="X226" s="102">
        <v>26</v>
      </c>
      <c r="Y226" s="102">
        <v>30</v>
      </c>
      <c r="Z226" s="182">
        <v>37</v>
      </c>
    </row>
    <row r="227" spans="1:26" x14ac:dyDescent="0.4">
      <c r="B227" s="170">
        <v>0</v>
      </c>
      <c r="C227" s="171">
        <v>0</v>
      </c>
      <c r="D227" s="171">
        <v>0</v>
      </c>
      <c r="E227" s="171">
        <v>0</v>
      </c>
      <c r="F227" s="171">
        <v>0</v>
      </c>
      <c r="G227" s="171">
        <v>0</v>
      </c>
      <c r="H227" s="171">
        <v>0</v>
      </c>
      <c r="I227" s="171">
        <v>0.01</v>
      </c>
      <c r="J227" s="171">
        <v>0</v>
      </c>
      <c r="K227" s="171">
        <v>0</v>
      </c>
      <c r="L227" s="171">
        <v>0</v>
      </c>
      <c r="M227" s="171">
        <v>0</v>
      </c>
      <c r="N227" s="171">
        <v>0</v>
      </c>
      <c r="O227" s="171">
        <v>0</v>
      </c>
      <c r="P227" s="171">
        <v>0</v>
      </c>
      <c r="Q227" s="171">
        <v>0</v>
      </c>
      <c r="R227" s="171">
        <v>0</v>
      </c>
      <c r="S227" s="171">
        <v>0</v>
      </c>
      <c r="T227" s="171">
        <v>0</v>
      </c>
      <c r="U227" s="171">
        <v>0</v>
      </c>
      <c r="V227" s="171">
        <v>0</v>
      </c>
      <c r="W227" s="180">
        <v>0</v>
      </c>
      <c r="X227" s="180">
        <v>0</v>
      </c>
      <c r="Y227" s="180">
        <v>0</v>
      </c>
      <c r="Z227" s="181">
        <v>0</v>
      </c>
    </row>
    <row r="228" spans="1:26" x14ac:dyDescent="0.4">
      <c r="A228" s="104" t="s">
        <v>234</v>
      </c>
      <c r="B228" s="169">
        <v>66</v>
      </c>
      <c r="C228" s="87">
        <v>40</v>
      </c>
      <c r="D228" s="87">
        <v>26</v>
      </c>
      <c r="E228" s="87">
        <v>8</v>
      </c>
      <c r="F228" s="87">
        <v>21</v>
      </c>
      <c r="G228" s="87">
        <v>20</v>
      </c>
      <c r="H228" s="87">
        <v>18</v>
      </c>
      <c r="I228" s="87">
        <v>17</v>
      </c>
      <c r="J228" s="87">
        <v>24</v>
      </c>
      <c r="K228" s="87">
        <v>26</v>
      </c>
      <c r="L228" s="87">
        <v>6</v>
      </c>
      <c r="M228" s="87">
        <v>36</v>
      </c>
      <c r="N228" s="87">
        <v>5</v>
      </c>
      <c r="O228" s="87">
        <v>18</v>
      </c>
      <c r="P228" s="87">
        <v>20</v>
      </c>
      <c r="Q228" s="87">
        <v>23</v>
      </c>
      <c r="R228" s="87">
        <v>22</v>
      </c>
      <c r="S228" s="87">
        <v>21</v>
      </c>
      <c r="T228" s="87">
        <v>26</v>
      </c>
      <c r="U228" s="87">
        <v>8</v>
      </c>
      <c r="V228" s="87">
        <v>12</v>
      </c>
      <c r="W228" s="102">
        <v>37</v>
      </c>
      <c r="X228" s="102">
        <v>27</v>
      </c>
      <c r="Y228" s="102">
        <v>30</v>
      </c>
      <c r="Z228" s="182">
        <v>33</v>
      </c>
    </row>
    <row r="229" spans="1:26" x14ac:dyDescent="0.4">
      <c r="B229" s="170">
        <v>0</v>
      </c>
      <c r="C229" s="171">
        <v>0</v>
      </c>
      <c r="D229" s="171">
        <v>0</v>
      </c>
      <c r="E229" s="171">
        <v>0</v>
      </c>
      <c r="F229" s="171">
        <v>0</v>
      </c>
      <c r="G229" s="171">
        <v>0</v>
      </c>
      <c r="H229" s="171">
        <v>0</v>
      </c>
      <c r="I229" s="171">
        <v>0</v>
      </c>
      <c r="J229" s="171">
        <v>0</v>
      </c>
      <c r="K229" s="171">
        <v>0</v>
      </c>
      <c r="L229" s="171">
        <v>0</v>
      </c>
      <c r="M229" s="171">
        <v>0</v>
      </c>
      <c r="N229" s="171">
        <v>0</v>
      </c>
      <c r="O229" s="171">
        <v>0</v>
      </c>
      <c r="P229" s="171">
        <v>0</v>
      </c>
      <c r="Q229" s="171">
        <v>0</v>
      </c>
      <c r="R229" s="171">
        <v>0</v>
      </c>
      <c r="S229" s="171">
        <v>0</v>
      </c>
      <c r="T229" s="171">
        <v>0</v>
      </c>
      <c r="U229" s="171">
        <v>0</v>
      </c>
      <c r="V229" s="171">
        <v>0</v>
      </c>
      <c r="W229" s="180">
        <v>0</v>
      </c>
      <c r="X229" s="180">
        <v>0</v>
      </c>
      <c r="Y229" s="180">
        <v>0</v>
      </c>
      <c r="Z229" s="181">
        <v>0</v>
      </c>
    </row>
    <row r="230" spans="1:26" x14ac:dyDescent="0.4">
      <c r="A230" s="104" t="s">
        <v>235</v>
      </c>
      <c r="B230" s="169">
        <v>67</v>
      </c>
      <c r="C230" s="87">
        <v>31</v>
      </c>
      <c r="D230" s="87">
        <v>34</v>
      </c>
      <c r="E230" s="87">
        <v>11</v>
      </c>
      <c r="F230" s="87">
        <v>13</v>
      </c>
      <c r="G230" s="87">
        <v>20</v>
      </c>
      <c r="H230" s="87">
        <v>23</v>
      </c>
      <c r="I230" s="87">
        <v>11</v>
      </c>
      <c r="J230" s="87">
        <v>25</v>
      </c>
      <c r="K230" s="87">
        <v>30</v>
      </c>
      <c r="L230" s="87">
        <v>4</v>
      </c>
      <c r="M230" s="87">
        <v>31</v>
      </c>
      <c r="N230" s="87">
        <v>3</v>
      </c>
      <c r="O230" s="87">
        <v>25</v>
      </c>
      <c r="P230" s="87">
        <v>17</v>
      </c>
      <c r="Q230" s="87">
        <v>23</v>
      </c>
      <c r="R230" s="87">
        <v>27</v>
      </c>
      <c r="S230" s="87">
        <v>14</v>
      </c>
      <c r="T230" s="87">
        <v>27</v>
      </c>
      <c r="U230" s="87">
        <v>6</v>
      </c>
      <c r="V230" s="87">
        <v>20</v>
      </c>
      <c r="W230" s="102">
        <v>36</v>
      </c>
      <c r="X230" s="102">
        <v>27</v>
      </c>
      <c r="Y230" s="102">
        <v>26</v>
      </c>
      <c r="Z230" s="182">
        <v>35</v>
      </c>
    </row>
    <row r="231" spans="1:26" x14ac:dyDescent="0.4">
      <c r="B231" s="170">
        <v>0</v>
      </c>
      <c r="C231" s="171">
        <v>0</v>
      </c>
      <c r="D231" s="171">
        <v>0</v>
      </c>
      <c r="E231" s="171">
        <v>0</v>
      </c>
      <c r="F231" s="171">
        <v>0</v>
      </c>
      <c r="G231" s="171">
        <v>0</v>
      </c>
      <c r="H231" s="171">
        <v>0</v>
      </c>
      <c r="I231" s="171">
        <v>0</v>
      </c>
      <c r="J231" s="171">
        <v>0</v>
      </c>
      <c r="K231" s="171">
        <v>0</v>
      </c>
      <c r="L231" s="171">
        <v>0</v>
      </c>
      <c r="M231" s="171">
        <v>0</v>
      </c>
      <c r="N231" s="171">
        <v>0</v>
      </c>
      <c r="O231" s="171">
        <v>0</v>
      </c>
      <c r="P231" s="171">
        <v>0</v>
      </c>
      <c r="Q231" s="171">
        <v>0</v>
      </c>
      <c r="R231" s="171">
        <v>0</v>
      </c>
      <c r="S231" s="171">
        <v>0</v>
      </c>
      <c r="T231" s="171">
        <v>0</v>
      </c>
      <c r="U231" s="171">
        <v>0</v>
      </c>
      <c r="V231" s="171">
        <v>0</v>
      </c>
      <c r="W231" s="180">
        <v>0</v>
      </c>
      <c r="X231" s="180">
        <v>0</v>
      </c>
      <c r="Y231" s="180">
        <v>0</v>
      </c>
      <c r="Z231" s="181">
        <v>0</v>
      </c>
    </row>
    <row r="232" spans="1:26" x14ac:dyDescent="0.4">
      <c r="A232" s="104" t="s">
        <v>236</v>
      </c>
      <c r="B232" s="169">
        <v>78</v>
      </c>
      <c r="C232" s="87">
        <v>33</v>
      </c>
      <c r="D232" s="87">
        <v>44</v>
      </c>
      <c r="E232" s="87">
        <v>27</v>
      </c>
      <c r="F232" s="87">
        <v>18</v>
      </c>
      <c r="G232" s="87">
        <v>16</v>
      </c>
      <c r="H232" s="87">
        <v>17</v>
      </c>
      <c r="I232" s="87">
        <v>21</v>
      </c>
      <c r="J232" s="87">
        <v>24</v>
      </c>
      <c r="K232" s="87">
        <v>32</v>
      </c>
      <c r="L232" s="87">
        <v>7</v>
      </c>
      <c r="M232" s="87">
        <v>35</v>
      </c>
      <c r="N232" s="87">
        <v>12</v>
      </c>
      <c r="O232" s="87">
        <v>22</v>
      </c>
      <c r="P232" s="87">
        <v>17</v>
      </c>
      <c r="Q232" s="87">
        <v>23</v>
      </c>
      <c r="R232" s="87">
        <v>38</v>
      </c>
      <c r="S232" s="87">
        <v>19</v>
      </c>
      <c r="T232" s="87">
        <v>23</v>
      </c>
      <c r="U232" s="87">
        <v>8</v>
      </c>
      <c r="V232" s="87">
        <v>28</v>
      </c>
      <c r="W232" s="102">
        <v>52</v>
      </c>
      <c r="X232" s="102">
        <v>25</v>
      </c>
      <c r="Y232" s="102">
        <v>39</v>
      </c>
      <c r="Z232" s="182">
        <v>35</v>
      </c>
    </row>
    <row r="233" spans="1:26" x14ac:dyDescent="0.4">
      <c r="B233" s="170">
        <v>0</v>
      </c>
      <c r="C233" s="171">
        <v>0</v>
      </c>
      <c r="D233" s="171">
        <v>0</v>
      </c>
      <c r="E233" s="171">
        <v>0.01</v>
      </c>
      <c r="F233" s="171">
        <v>0</v>
      </c>
      <c r="G233" s="171">
        <v>0</v>
      </c>
      <c r="H233" s="171">
        <v>0</v>
      </c>
      <c r="I233" s="171">
        <v>0.01</v>
      </c>
      <c r="J233" s="171">
        <v>0</v>
      </c>
      <c r="K233" s="171">
        <v>0</v>
      </c>
      <c r="L233" s="171">
        <v>0</v>
      </c>
      <c r="M233" s="171">
        <v>0</v>
      </c>
      <c r="N233" s="171">
        <v>0</v>
      </c>
      <c r="O233" s="171">
        <v>0</v>
      </c>
      <c r="P233" s="171">
        <v>0</v>
      </c>
      <c r="Q233" s="171">
        <v>0</v>
      </c>
      <c r="R233" s="171">
        <v>0.01</v>
      </c>
      <c r="S233" s="171">
        <v>0</v>
      </c>
      <c r="T233" s="171">
        <v>0</v>
      </c>
      <c r="U233" s="171">
        <v>0</v>
      </c>
      <c r="V233" s="171">
        <v>0</v>
      </c>
      <c r="W233" s="180">
        <v>0</v>
      </c>
      <c r="X233" s="180">
        <v>0</v>
      </c>
      <c r="Y233" s="180">
        <v>0</v>
      </c>
      <c r="Z233" s="181">
        <v>0</v>
      </c>
    </row>
    <row r="234" spans="1:26" x14ac:dyDescent="0.4">
      <c r="A234" s="104" t="s">
        <v>237</v>
      </c>
      <c r="B234" s="169">
        <v>82</v>
      </c>
      <c r="C234" s="87">
        <v>46</v>
      </c>
      <c r="D234" s="87">
        <v>36</v>
      </c>
      <c r="E234" s="87">
        <v>10</v>
      </c>
      <c r="F234" s="87">
        <v>10</v>
      </c>
      <c r="G234" s="87">
        <v>28</v>
      </c>
      <c r="H234" s="87">
        <v>34</v>
      </c>
      <c r="I234" s="87">
        <v>18</v>
      </c>
      <c r="J234" s="87">
        <v>37</v>
      </c>
      <c r="K234" s="87">
        <v>27</v>
      </c>
      <c r="L234" s="87">
        <v>4</v>
      </c>
      <c r="M234" s="87">
        <v>47</v>
      </c>
      <c r="N234" s="87">
        <v>8</v>
      </c>
      <c r="O234" s="87">
        <v>19</v>
      </c>
      <c r="P234" s="87">
        <v>26</v>
      </c>
      <c r="Q234" s="87">
        <v>35</v>
      </c>
      <c r="R234" s="87">
        <v>20</v>
      </c>
      <c r="S234" s="87">
        <v>20</v>
      </c>
      <c r="T234" s="87">
        <v>36</v>
      </c>
      <c r="U234" s="87">
        <v>10</v>
      </c>
      <c r="V234" s="87">
        <v>16</v>
      </c>
      <c r="W234" s="102">
        <v>47</v>
      </c>
      <c r="X234" s="102">
        <v>29</v>
      </c>
      <c r="Y234" s="102">
        <v>29</v>
      </c>
      <c r="Z234" s="182">
        <v>46</v>
      </c>
    </row>
    <row r="235" spans="1:26" x14ac:dyDescent="0.4">
      <c r="B235" s="170">
        <v>0</v>
      </c>
      <c r="C235" s="171">
        <v>0</v>
      </c>
      <c r="D235" s="171">
        <v>0</v>
      </c>
      <c r="E235" s="171">
        <v>0</v>
      </c>
      <c r="F235" s="171">
        <v>0</v>
      </c>
      <c r="G235" s="171">
        <v>0</v>
      </c>
      <c r="H235" s="171">
        <v>0</v>
      </c>
      <c r="I235" s="171">
        <v>0.01</v>
      </c>
      <c r="J235" s="171">
        <v>0</v>
      </c>
      <c r="K235" s="171">
        <v>0</v>
      </c>
      <c r="L235" s="171">
        <v>0</v>
      </c>
      <c r="M235" s="171">
        <v>0</v>
      </c>
      <c r="N235" s="171">
        <v>0</v>
      </c>
      <c r="O235" s="171">
        <v>0</v>
      </c>
      <c r="P235" s="171">
        <v>0</v>
      </c>
      <c r="Q235" s="171">
        <v>0</v>
      </c>
      <c r="R235" s="171">
        <v>0</v>
      </c>
      <c r="S235" s="171">
        <v>0</v>
      </c>
      <c r="T235" s="171">
        <v>0</v>
      </c>
      <c r="U235" s="171">
        <v>0</v>
      </c>
      <c r="V235" s="171">
        <v>0</v>
      </c>
      <c r="W235" s="180">
        <v>0</v>
      </c>
      <c r="X235" s="180">
        <v>0</v>
      </c>
      <c r="Y235" s="180">
        <v>0</v>
      </c>
      <c r="Z235" s="181">
        <v>0</v>
      </c>
    </row>
    <row r="236" spans="1:26" x14ac:dyDescent="0.4">
      <c r="A236" s="104" t="s">
        <v>238</v>
      </c>
      <c r="B236" s="169">
        <v>79</v>
      </c>
      <c r="C236" s="87">
        <v>27</v>
      </c>
      <c r="D236" s="87">
        <v>52</v>
      </c>
      <c r="E236" s="87">
        <v>5</v>
      </c>
      <c r="F236" s="87">
        <v>23</v>
      </c>
      <c r="G236" s="87">
        <v>20</v>
      </c>
      <c r="H236" s="87">
        <v>31</v>
      </c>
      <c r="I236" s="87">
        <v>12</v>
      </c>
      <c r="J236" s="87">
        <v>34</v>
      </c>
      <c r="K236" s="87">
        <v>34</v>
      </c>
      <c r="L236" s="87">
        <v>3</v>
      </c>
      <c r="M236" s="87">
        <v>37</v>
      </c>
      <c r="N236" s="87">
        <v>12</v>
      </c>
      <c r="O236" s="87">
        <v>23</v>
      </c>
      <c r="P236" s="87">
        <v>19</v>
      </c>
      <c r="Q236" s="87">
        <v>34</v>
      </c>
      <c r="R236" s="87">
        <v>26</v>
      </c>
      <c r="S236" s="87">
        <v>22</v>
      </c>
      <c r="T236" s="87">
        <v>31</v>
      </c>
      <c r="U236" s="87">
        <v>13</v>
      </c>
      <c r="V236" s="87">
        <v>13</v>
      </c>
      <c r="W236" s="102">
        <v>38</v>
      </c>
      <c r="X236" s="102">
        <v>36</v>
      </c>
      <c r="Y236" s="102">
        <v>27</v>
      </c>
      <c r="Z236" s="182">
        <v>48</v>
      </c>
    </row>
    <row r="237" spans="1:26" x14ac:dyDescent="0.4">
      <c r="B237" s="170">
        <v>0</v>
      </c>
      <c r="C237" s="171">
        <v>0</v>
      </c>
      <c r="D237" s="171">
        <v>0</v>
      </c>
      <c r="E237" s="171">
        <v>0</v>
      </c>
      <c r="F237" s="171">
        <v>0</v>
      </c>
      <c r="G237" s="171">
        <v>0</v>
      </c>
      <c r="H237" s="171">
        <v>0</v>
      </c>
      <c r="I237" s="171">
        <v>0</v>
      </c>
      <c r="J237" s="171">
        <v>0</v>
      </c>
      <c r="K237" s="171">
        <v>0</v>
      </c>
      <c r="L237" s="171">
        <v>0</v>
      </c>
      <c r="M237" s="171">
        <v>0</v>
      </c>
      <c r="N237" s="171">
        <v>0</v>
      </c>
      <c r="O237" s="171">
        <v>0</v>
      </c>
      <c r="P237" s="171">
        <v>0</v>
      </c>
      <c r="Q237" s="171">
        <v>0</v>
      </c>
      <c r="R237" s="171">
        <v>0</v>
      </c>
      <c r="S237" s="171">
        <v>0</v>
      </c>
      <c r="T237" s="171">
        <v>0</v>
      </c>
      <c r="U237" s="171">
        <v>0</v>
      </c>
      <c r="V237" s="171">
        <v>0</v>
      </c>
      <c r="W237" s="180">
        <v>0</v>
      </c>
      <c r="X237" s="180">
        <v>0</v>
      </c>
      <c r="Y237" s="180">
        <v>0</v>
      </c>
      <c r="Z237" s="181">
        <v>0</v>
      </c>
    </row>
    <row r="238" spans="1:26" x14ac:dyDescent="0.4">
      <c r="A238" s="104" t="s">
        <v>239</v>
      </c>
      <c r="B238" s="169">
        <v>73</v>
      </c>
      <c r="C238" s="87">
        <v>26</v>
      </c>
      <c r="D238" s="87">
        <v>47</v>
      </c>
      <c r="E238" s="87">
        <v>11</v>
      </c>
      <c r="F238" s="87">
        <v>20</v>
      </c>
      <c r="G238" s="87">
        <v>23</v>
      </c>
      <c r="H238" s="87">
        <v>19</v>
      </c>
      <c r="I238" s="87">
        <v>9</v>
      </c>
      <c r="J238" s="87">
        <v>12</v>
      </c>
      <c r="K238" s="87">
        <v>52</v>
      </c>
      <c r="L238" s="87">
        <v>7</v>
      </c>
      <c r="M238" s="87">
        <v>36</v>
      </c>
      <c r="N238" s="87">
        <v>7</v>
      </c>
      <c r="O238" s="87">
        <v>22</v>
      </c>
      <c r="P238" s="87">
        <v>28</v>
      </c>
      <c r="Q238" s="87">
        <v>18</v>
      </c>
      <c r="R238" s="87">
        <v>27</v>
      </c>
      <c r="S238" s="87">
        <v>15</v>
      </c>
      <c r="T238" s="87">
        <v>30</v>
      </c>
      <c r="U238" s="87">
        <v>9</v>
      </c>
      <c r="V238" s="87">
        <v>20</v>
      </c>
      <c r="W238" s="102">
        <v>46</v>
      </c>
      <c r="X238" s="102">
        <v>25</v>
      </c>
      <c r="Y238" s="102">
        <v>30</v>
      </c>
      <c r="Z238" s="182">
        <v>38</v>
      </c>
    </row>
    <row r="239" spans="1:26" x14ac:dyDescent="0.4">
      <c r="B239" s="170">
        <v>0</v>
      </c>
      <c r="C239" s="171">
        <v>0</v>
      </c>
      <c r="D239" s="171">
        <v>0</v>
      </c>
      <c r="E239" s="171">
        <v>0</v>
      </c>
      <c r="F239" s="171">
        <v>0</v>
      </c>
      <c r="G239" s="171">
        <v>0</v>
      </c>
      <c r="H239" s="171">
        <v>0</v>
      </c>
      <c r="I239" s="171">
        <v>0</v>
      </c>
      <c r="J239" s="171">
        <v>0</v>
      </c>
      <c r="K239" s="171">
        <v>0</v>
      </c>
      <c r="L239" s="171">
        <v>0</v>
      </c>
      <c r="M239" s="171">
        <v>0</v>
      </c>
      <c r="N239" s="171">
        <v>0</v>
      </c>
      <c r="O239" s="171">
        <v>0</v>
      </c>
      <c r="P239" s="171">
        <v>0</v>
      </c>
      <c r="Q239" s="171">
        <v>0</v>
      </c>
      <c r="R239" s="171">
        <v>0</v>
      </c>
      <c r="S239" s="171">
        <v>0</v>
      </c>
      <c r="T239" s="171">
        <v>0</v>
      </c>
      <c r="U239" s="171">
        <v>0</v>
      </c>
      <c r="V239" s="171">
        <v>0</v>
      </c>
      <c r="W239" s="180">
        <v>0</v>
      </c>
      <c r="X239" s="180">
        <v>0</v>
      </c>
      <c r="Y239" s="180">
        <v>0</v>
      </c>
      <c r="Z239" s="181">
        <v>0</v>
      </c>
    </row>
    <row r="240" spans="1:26" x14ac:dyDescent="0.4">
      <c r="A240" s="104" t="s">
        <v>240</v>
      </c>
      <c r="B240" s="169">
        <v>113</v>
      </c>
      <c r="C240" s="87">
        <v>46</v>
      </c>
      <c r="D240" s="87">
        <v>64</v>
      </c>
      <c r="E240" s="87">
        <v>14</v>
      </c>
      <c r="F240" s="87">
        <v>31</v>
      </c>
      <c r="G240" s="87">
        <v>37</v>
      </c>
      <c r="H240" s="87">
        <v>31</v>
      </c>
      <c r="I240" s="87">
        <v>16</v>
      </c>
      <c r="J240" s="87">
        <v>34</v>
      </c>
      <c r="K240" s="87">
        <v>62</v>
      </c>
      <c r="L240" s="87">
        <v>10</v>
      </c>
      <c r="M240" s="87">
        <v>69</v>
      </c>
      <c r="N240" s="87">
        <v>7</v>
      </c>
      <c r="O240" s="87">
        <v>22</v>
      </c>
      <c r="P240" s="87">
        <v>50</v>
      </c>
      <c r="Q240" s="87">
        <v>23</v>
      </c>
      <c r="R240" s="87">
        <v>40</v>
      </c>
      <c r="S240" s="87">
        <v>16</v>
      </c>
      <c r="T240" s="87">
        <v>47</v>
      </c>
      <c r="U240" s="87">
        <v>19</v>
      </c>
      <c r="V240" s="87">
        <v>32</v>
      </c>
      <c r="W240" s="102">
        <v>78</v>
      </c>
      <c r="X240" s="102">
        <v>28</v>
      </c>
      <c r="Y240" s="102">
        <v>54</v>
      </c>
      <c r="Z240" s="182">
        <v>52</v>
      </c>
    </row>
    <row r="241" spans="1:26" x14ac:dyDescent="0.4">
      <c r="B241" s="170">
        <v>0</v>
      </c>
      <c r="C241" s="171">
        <v>0</v>
      </c>
      <c r="D241" s="171">
        <v>0</v>
      </c>
      <c r="E241" s="171">
        <v>0</v>
      </c>
      <c r="F241" s="171">
        <v>0</v>
      </c>
      <c r="G241" s="171">
        <v>0</v>
      </c>
      <c r="H241" s="171">
        <v>0</v>
      </c>
      <c r="I241" s="171">
        <v>0</v>
      </c>
      <c r="J241" s="171">
        <v>0</v>
      </c>
      <c r="K241" s="171">
        <v>0</v>
      </c>
      <c r="L241" s="171">
        <v>0</v>
      </c>
      <c r="M241" s="171">
        <v>0</v>
      </c>
      <c r="N241" s="171">
        <v>0</v>
      </c>
      <c r="O241" s="171">
        <v>0</v>
      </c>
      <c r="P241" s="171">
        <v>0</v>
      </c>
      <c r="Q241" s="171">
        <v>0</v>
      </c>
      <c r="R241" s="171">
        <v>0.01</v>
      </c>
      <c r="S241" s="171">
        <v>0</v>
      </c>
      <c r="T241" s="171">
        <v>0</v>
      </c>
      <c r="U241" s="171">
        <v>0</v>
      </c>
      <c r="V241" s="171">
        <v>0.01</v>
      </c>
      <c r="W241" s="180">
        <v>0</v>
      </c>
      <c r="X241" s="180">
        <v>0</v>
      </c>
      <c r="Y241" s="180">
        <v>0</v>
      </c>
      <c r="Z241" s="181">
        <v>0</v>
      </c>
    </row>
    <row r="242" spans="1:26" x14ac:dyDescent="0.4">
      <c r="A242" s="104" t="s">
        <v>241</v>
      </c>
      <c r="B242" s="169">
        <v>159</v>
      </c>
      <c r="C242" s="87">
        <v>82</v>
      </c>
      <c r="D242" s="87">
        <v>75</v>
      </c>
      <c r="E242" s="87">
        <v>23</v>
      </c>
      <c r="F242" s="87">
        <v>43</v>
      </c>
      <c r="G242" s="87">
        <v>46</v>
      </c>
      <c r="H242" s="87">
        <v>48</v>
      </c>
      <c r="I242" s="87">
        <v>31</v>
      </c>
      <c r="J242" s="87">
        <v>41</v>
      </c>
      <c r="K242" s="87">
        <v>88</v>
      </c>
      <c r="L242" s="87">
        <v>15</v>
      </c>
      <c r="M242" s="87">
        <v>97</v>
      </c>
      <c r="N242" s="87">
        <v>8</v>
      </c>
      <c r="O242" s="87">
        <v>35</v>
      </c>
      <c r="P242" s="87">
        <v>89</v>
      </c>
      <c r="Q242" s="87">
        <v>39</v>
      </c>
      <c r="R242" s="87">
        <v>32</v>
      </c>
      <c r="S242" s="87">
        <v>34</v>
      </c>
      <c r="T242" s="87">
        <v>56</v>
      </c>
      <c r="U242" s="87">
        <v>31</v>
      </c>
      <c r="V242" s="87">
        <v>37</v>
      </c>
      <c r="W242" s="102">
        <v>100</v>
      </c>
      <c r="X242" s="102">
        <v>51</v>
      </c>
      <c r="Y242" s="102">
        <v>70</v>
      </c>
      <c r="Z242" s="182">
        <v>79</v>
      </c>
    </row>
    <row r="243" spans="1:26" x14ac:dyDescent="0.4">
      <c r="B243" s="170">
        <v>0.01</v>
      </c>
      <c r="C243" s="171">
        <v>0.01</v>
      </c>
      <c r="D243" s="171">
        <v>0.01</v>
      </c>
      <c r="E243" s="171">
        <v>0.01</v>
      </c>
      <c r="F243" s="171">
        <v>0.01</v>
      </c>
      <c r="G243" s="171">
        <v>0.01</v>
      </c>
      <c r="H243" s="171">
        <v>0.01</v>
      </c>
      <c r="I243" s="171">
        <v>0.01</v>
      </c>
      <c r="J243" s="171">
        <v>0</v>
      </c>
      <c r="K243" s="171">
        <v>0.01</v>
      </c>
      <c r="L243" s="171">
        <v>0</v>
      </c>
      <c r="M243" s="171">
        <v>0.01</v>
      </c>
      <c r="N243" s="171">
        <v>0</v>
      </c>
      <c r="O243" s="171">
        <v>0.01</v>
      </c>
      <c r="P243" s="171">
        <v>0.01</v>
      </c>
      <c r="Q243" s="171">
        <v>0</v>
      </c>
      <c r="R243" s="171">
        <v>0</v>
      </c>
      <c r="S243" s="171">
        <v>0.01</v>
      </c>
      <c r="T243" s="171">
        <v>0.01</v>
      </c>
      <c r="U243" s="171">
        <v>0.01</v>
      </c>
      <c r="V243" s="171">
        <v>0.01</v>
      </c>
      <c r="W243" s="180">
        <v>0.01</v>
      </c>
      <c r="X243" s="180">
        <v>0.01</v>
      </c>
      <c r="Y243" s="180">
        <v>0.01</v>
      </c>
      <c r="Z243" s="181">
        <v>0.01</v>
      </c>
    </row>
    <row r="244" spans="1:26" x14ac:dyDescent="0.4">
      <c r="A244" s="104" t="s">
        <v>242</v>
      </c>
      <c r="B244" s="169">
        <v>245</v>
      </c>
      <c r="C244" s="87">
        <v>119</v>
      </c>
      <c r="D244" s="87">
        <v>125</v>
      </c>
      <c r="E244" s="87">
        <v>22</v>
      </c>
      <c r="F244" s="87">
        <v>46</v>
      </c>
      <c r="G244" s="87">
        <v>75</v>
      </c>
      <c r="H244" s="87">
        <v>103</v>
      </c>
      <c r="I244" s="87">
        <v>84</v>
      </c>
      <c r="J244" s="87">
        <v>135</v>
      </c>
      <c r="K244" s="87">
        <v>27</v>
      </c>
      <c r="L244" s="87">
        <v>44</v>
      </c>
      <c r="M244" s="87">
        <v>91</v>
      </c>
      <c r="N244" s="87">
        <v>15</v>
      </c>
      <c r="O244" s="87">
        <v>94</v>
      </c>
      <c r="P244" s="87">
        <v>77</v>
      </c>
      <c r="Q244" s="87">
        <v>91</v>
      </c>
      <c r="R244" s="87">
        <v>77</v>
      </c>
      <c r="S244" s="87">
        <v>56</v>
      </c>
      <c r="T244" s="87">
        <v>75</v>
      </c>
      <c r="U244" s="87">
        <v>33</v>
      </c>
      <c r="V244" s="87">
        <v>82</v>
      </c>
      <c r="W244" s="102">
        <v>158</v>
      </c>
      <c r="X244" s="102">
        <v>86</v>
      </c>
      <c r="Y244" s="102">
        <v>99</v>
      </c>
      <c r="Z244" s="182">
        <v>137</v>
      </c>
    </row>
    <row r="245" spans="1:26" x14ac:dyDescent="0.4">
      <c r="B245" s="170">
        <v>0.01</v>
      </c>
      <c r="C245" s="171">
        <v>0.01</v>
      </c>
      <c r="D245" s="171">
        <v>0.01</v>
      </c>
      <c r="E245" s="171">
        <v>0.01</v>
      </c>
      <c r="F245" s="171">
        <v>0.01</v>
      </c>
      <c r="G245" s="171">
        <v>0.01</v>
      </c>
      <c r="H245" s="171">
        <v>0.01</v>
      </c>
      <c r="I245" s="171">
        <v>0.02</v>
      </c>
      <c r="J245" s="171">
        <v>0.02</v>
      </c>
      <c r="K245" s="171">
        <v>0</v>
      </c>
      <c r="L245" s="171">
        <v>0.01</v>
      </c>
      <c r="M245" s="171">
        <v>0.01</v>
      </c>
      <c r="N245" s="171">
        <v>0.01</v>
      </c>
      <c r="O245" s="171">
        <v>0.01</v>
      </c>
      <c r="P245" s="171">
        <v>0.01</v>
      </c>
      <c r="Q245" s="171">
        <v>0.01</v>
      </c>
      <c r="R245" s="171">
        <v>0.01</v>
      </c>
      <c r="S245" s="171">
        <v>0.01</v>
      </c>
      <c r="T245" s="171">
        <v>0.01</v>
      </c>
      <c r="U245" s="171">
        <v>0.01</v>
      </c>
      <c r="V245" s="171">
        <v>0.01</v>
      </c>
      <c r="W245" s="180">
        <v>0.01</v>
      </c>
      <c r="X245" s="180">
        <v>0.01</v>
      </c>
      <c r="Y245" s="180">
        <v>0.01</v>
      </c>
      <c r="Z245" s="181">
        <v>0.01</v>
      </c>
    </row>
    <row r="246" spans="1:26" x14ac:dyDescent="0.4">
      <c r="A246" s="104" t="s">
        <v>243</v>
      </c>
      <c r="B246" s="169">
        <v>8</v>
      </c>
      <c r="C246" s="87">
        <v>8</v>
      </c>
      <c r="D246" s="87">
        <v>0</v>
      </c>
      <c r="E246" s="87">
        <v>2</v>
      </c>
      <c r="F246" s="87">
        <v>2</v>
      </c>
      <c r="G246" s="87">
        <v>0</v>
      </c>
      <c r="H246" s="87">
        <v>4</v>
      </c>
      <c r="I246" s="87">
        <v>4</v>
      </c>
      <c r="J246" s="87">
        <v>2</v>
      </c>
      <c r="K246" s="87">
        <v>2</v>
      </c>
      <c r="L246" s="87">
        <v>2</v>
      </c>
      <c r="M246" s="87">
        <v>1</v>
      </c>
      <c r="N246" s="87">
        <v>1</v>
      </c>
      <c r="O246" s="87">
        <v>4</v>
      </c>
      <c r="P246" s="87">
        <v>1</v>
      </c>
      <c r="Q246" s="87">
        <v>7</v>
      </c>
      <c r="R246" s="87">
        <v>0</v>
      </c>
      <c r="S246" s="87">
        <v>0</v>
      </c>
      <c r="T246" s="87">
        <v>1</v>
      </c>
      <c r="U246" s="87">
        <v>4</v>
      </c>
      <c r="V246" s="87">
        <v>3</v>
      </c>
      <c r="W246" s="102">
        <v>7</v>
      </c>
      <c r="X246" s="102">
        <v>1</v>
      </c>
      <c r="Y246" s="102">
        <v>2</v>
      </c>
      <c r="Z246" s="182">
        <v>5</v>
      </c>
    </row>
    <row r="247" spans="1:26" x14ac:dyDescent="0.4">
      <c r="B247" s="170">
        <v>0</v>
      </c>
      <c r="C247" s="171">
        <v>0</v>
      </c>
      <c r="D247" s="87">
        <v>0</v>
      </c>
      <c r="E247" s="171">
        <v>0</v>
      </c>
      <c r="F247" s="171">
        <v>0</v>
      </c>
      <c r="G247" s="87">
        <v>0</v>
      </c>
      <c r="H247" s="171">
        <v>0</v>
      </c>
      <c r="I247" s="171">
        <v>0</v>
      </c>
      <c r="J247" s="171">
        <v>0</v>
      </c>
      <c r="K247" s="171">
        <v>0</v>
      </c>
      <c r="L247" s="171">
        <v>0</v>
      </c>
      <c r="M247" s="171">
        <v>0</v>
      </c>
      <c r="N247" s="171">
        <v>0</v>
      </c>
      <c r="O247" s="171">
        <v>0</v>
      </c>
      <c r="P247" s="171">
        <v>0</v>
      </c>
      <c r="Q247" s="171">
        <v>0</v>
      </c>
      <c r="R247" s="87">
        <v>0</v>
      </c>
      <c r="S247" s="87">
        <v>0</v>
      </c>
      <c r="T247" s="171">
        <v>0</v>
      </c>
      <c r="U247" s="171">
        <v>0</v>
      </c>
      <c r="V247" s="171">
        <v>0</v>
      </c>
      <c r="W247" s="180">
        <v>0</v>
      </c>
      <c r="X247" s="180">
        <v>0</v>
      </c>
      <c r="Y247" s="180">
        <v>0</v>
      </c>
      <c r="Z247" s="181">
        <v>0</v>
      </c>
    </row>
    <row r="248" spans="1:26" x14ac:dyDescent="0.4">
      <c r="A248" s="104" t="s">
        <v>244</v>
      </c>
      <c r="B248" s="169">
        <v>86</v>
      </c>
      <c r="C248" s="87">
        <v>50</v>
      </c>
      <c r="D248" s="87">
        <v>36</v>
      </c>
      <c r="E248" s="87">
        <v>6</v>
      </c>
      <c r="F248" s="87">
        <v>27</v>
      </c>
      <c r="G248" s="87">
        <v>22</v>
      </c>
      <c r="H248" s="87">
        <v>32</v>
      </c>
      <c r="I248" s="87">
        <v>37</v>
      </c>
      <c r="J248" s="87">
        <v>39</v>
      </c>
      <c r="K248" s="87">
        <v>10</v>
      </c>
      <c r="L248" s="87">
        <v>19</v>
      </c>
      <c r="M248" s="87">
        <v>38</v>
      </c>
      <c r="N248" s="87">
        <v>16</v>
      </c>
      <c r="O248" s="87">
        <v>13</v>
      </c>
      <c r="P248" s="87">
        <v>31</v>
      </c>
      <c r="Q248" s="87">
        <v>36</v>
      </c>
      <c r="R248" s="87">
        <v>19</v>
      </c>
      <c r="S248" s="87">
        <v>5</v>
      </c>
      <c r="T248" s="87">
        <v>26</v>
      </c>
      <c r="U248" s="87">
        <v>12</v>
      </c>
      <c r="V248" s="87">
        <v>42</v>
      </c>
      <c r="W248" s="102">
        <v>55</v>
      </c>
      <c r="X248" s="102">
        <v>29</v>
      </c>
      <c r="Y248" s="102">
        <v>43</v>
      </c>
      <c r="Z248" s="182">
        <v>43</v>
      </c>
    </row>
    <row r="249" spans="1:26" x14ac:dyDescent="0.4">
      <c r="B249" s="170">
        <v>0</v>
      </c>
      <c r="C249" s="171">
        <v>0</v>
      </c>
      <c r="D249" s="171">
        <v>0</v>
      </c>
      <c r="E249" s="171">
        <v>0</v>
      </c>
      <c r="F249" s="171">
        <v>0</v>
      </c>
      <c r="G249" s="171">
        <v>0</v>
      </c>
      <c r="H249" s="171">
        <v>0</v>
      </c>
      <c r="I249" s="171">
        <v>0.01</v>
      </c>
      <c r="J249" s="171">
        <v>0</v>
      </c>
      <c r="K249" s="171">
        <v>0</v>
      </c>
      <c r="L249" s="171">
        <v>0.01</v>
      </c>
      <c r="M249" s="171">
        <v>0</v>
      </c>
      <c r="N249" s="171">
        <v>0.01</v>
      </c>
      <c r="O249" s="171">
        <v>0</v>
      </c>
      <c r="P249" s="171">
        <v>0</v>
      </c>
      <c r="Q249" s="171">
        <v>0</v>
      </c>
      <c r="R249" s="171">
        <v>0</v>
      </c>
      <c r="S249" s="171">
        <v>0</v>
      </c>
      <c r="T249" s="171">
        <v>0</v>
      </c>
      <c r="U249" s="171">
        <v>0</v>
      </c>
      <c r="V249" s="171">
        <v>0.01</v>
      </c>
      <c r="W249" s="180">
        <v>0</v>
      </c>
      <c r="X249" s="180">
        <v>0</v>
      </c>
      <c r="Y249" s="180">
        <v>0</v>
      </c>
      <c r="Z249" s="181">
        <v>0</v>
      </c>
    </row>
    <row r="250" spans="1:26" x14ac:dyDescent="0.4">
      <c r="A250" s="104" t="s">
        <v>245</v>
      </c>
      <c r="B250" s="169">
        <v>562</v>
      </c>
      <c r="C250" s="87">
        <v>238</v>
      </c>
      <c r="D250" s="87">
        <v>325</v>
      </c>
      <c r="E250" s="87">
        <v>65</v>
      </c>
      <c r="F250" s="87">
        <v>102</v>
      </c>
      <c r="G250" s="87">
        <v>167</v>
      </c>
      <c r="H250" s="87">
        <v>228</v>
      </c>
      <c r="I250" s="87">
        <v>156</v>
      </c>
      <c r="J250" s="87">
        <v>312</v>
      </c>
      <c r="K250" s="87">
        <v>94</v>
      </c>
      <c r="L250" s="87">
        <v>83</v>
      </c>
      <c r="M250" s="87">
        <v>236</v>
      </c>
      <c r="N250" s="87">
        <v>65</v>
      </c>
      <c r="O250" s="87">
        <v>170</v>
      </c>
      <c r="P250" s="87">
        <v>184</v>
      </c>
      <c r="Q250" s="87">
        <v>296</v>
      </c>
      <c r="R250" s="87">
        <v>82</v>
      </c>
      <c r="S250" s="87">
        <v>153</v>
      </c>
      <c r="T250" s="87">
        <v>160</v>
      </c>
      <c r="U250" s="87">
        <v>63</v>
      </c>
      <c r="V250" s="87">
        <v>186</v>
      </c>
      <c r="W250" s="102">
        <v>367</v>
      </c>
      <c r="X250" s="102">
        <v>161</v>
      </c>
      <c r="Y250" s="102">
        <v>321</v>
      </c>
      <c r="Z250" s="182">
        <v>212</v>
      </c>
    </row>
    <row r="251" spans="1:26" x14ac:dyDescent="0.4">
      <c r="B251" s="170">
        <v>0.02</v>
      </c>
      <c r="C251" s="171">
        <v>0.02</v>
      </c>
      <c r="D251" s="171">
        <v>0.02</v>
      </c>
      <c r="E251" s="171">
        <v>0.02</v>
      </c>
      <c r="F251" s="171">
        <v>0.01</v>
      </c>
      <c r="G251" s="171">
        <v>0.02</v>
      </c>
      <c r="H251" s="171">
        <v>0.03</v>
      </c>
      <c r="I251" s="171">
        <v>0.04</v>
      </c>
      <c r="J251" s="171">
        <v>0.04</v>
      </c>
      <c r="K251" s="171">
        <v>0.01</v>
      </c>
      <c r="L251" s="171">
        <v>0.03</v>
      </c>
      <c r="M251" s="171">
        <v>0.02</v>
      </c>
      <c r="N251" s="171">
        <v>0.02</v>
      </c>
      <c r="O251" s="171">
        <v>0.02</v>
      </c>
      <c r="P251" s="171">
        <v>0.02</v>
      </c>
      <c r="Q251" s="171">
        <v>0.03</v>
      </c>
      <c r="R251" s="171">
        <v>0.01</v>
      </c>
      <c r="S251" s="171">
        <v>0.02</v>
      </c>
      <c r="T251" s="171">
        <v>0.02</v>
      </c>
      <c r="U251" s="171">
        <v>0.01</v>
      </c>
      <c r="V251" s="171">
        <v>0.03</v>
      </c>
      <c r="W251" s="180">
        <v>0.02</v>
      </c>
      <c r="X251" s="180">
        <v>0.02</v>
      </c>
      <c r="Y251" s="180">
        <v>0.03</v>
      </c>
      <c r="Z251" s="181">
        <v>0.01</v>
      </c>
    </row>
    <row r="252" spans="1:26" x14ac:dyDescent="0.4">
      <c r="A252" s="104" t="s">
        <v>246</v>
      </c>
      <c r="B252" s="169">
        <v>75</v>
      </c>
      <c r="C252" s="87">
        <v>51</v>
      </c>
      <c r="D252" s="87">
        <v>24</v>
      </c>
      <c r="E252" s="87">
        <v>13</v>
      </c>
      <c r="F252" s="87">
        <v>31</v>
      </c>
      <c r="G252" s="87">
        <v>14</v>
      </c>
      <c r="H252" s="87">
        <v>17</v>
      </c>
      <c r="I252" s="87">
        <v>32</v>
      </c>
      <c r="J252" s="87">
        <v>33</v>
      </c>
      <c r="K252" s="87">
        <v>10</v>
      </c>
      <c r="L252" s="87">
        <v>3</v>
      </c>
      <c r="M252" s="87">
        <v>23</v>
      </c>
      <c r="N252" s="87">
        <v>20</v>
      </c>
      <c r="O252" s="87">
        <v>29</v>
      </c>
      <c r="P252" s="87">
        <v>18</v>
      </c>
      <c r="Q252" s="87">
        <v>46</v>
      </c>
      <c r="R252" s="87">
        <v>11</v>
      </c>
      <c r="S252" s="87">
        <v>9</v>
      </c>
      <c r="T252" s="87">
        <v>10</v>
      </c>
      <c r="U252" s="87">
        <v>4</v>
      </c>
      <c r="V252" s="87">
        <v>51</v>
      </c>
      <c r="W252" s="102">
        <v>55</v>
      </c>
      <c r="X252" s="102">
        <v>20</v>
      </c>
      <c r="Y252" s="102">
        <v>21</v>
      </c>
      <c r="Z252" s="182">
        <v>49</v>
      </c>
    </row>
    <row r="253" spans="1:26" x14ac:dyDescent="0.4">
      <c r="B253" s="170">
        <v>0</v>
      </c>
      <c r="C253" s="171">
        <v>0</v>
      </c>
      <c r="D253" s="171">
        <v>0</v>
      </c>
      <c r="E253" s="171">
        <v>0</v>
      </c>
      <c r="F253" s="171">
        <v>0</v>
      </c>
      <c r="G253" s="171">
        <v>0</v>
      </c>
      <c r="H253" s="171">
        <v>0</v>
      </c>
      <c r="I253" s="171">
        <v>0.01</v>
      </c>
      <c r="J253" s="171">
        <v>0</v>
      </c>
      <c r="K253" s="171">
        <v>0</v>
      </c>
      <c r="L253" s="171">
        <v>0</v>
      </c>
      <c r="M253" s="171">
        <v>0</v>
      </c>
      <c r="N253" s="171">
        <v>0.01</v>
      </c>
      <c r="O253" s="171">
        <v>0</v>
      </c>
      <c r="P253" s="171">
        <v>0</v>
      </c>
      <c r="Q253" s="171">
        <v>0</v>
      </c>
      <c r="R253" s="171">
        <v>0</v>
      </c>
      <c r="S253" s="171">
        <v>0</v>
      </c>
      <c r="T253" s="171">
        <v>0</v>
      </c>
      <c r="U253" s="171">
        <v>0</v>
      </c>
      <c r="V253" s="171">
        <v>0.01</v>
      </c>
      <c r="W253" s="180">
        <v>0</v>
      </c>
      <c r="X253" s="180">
        <v>0</v>
      </c>
      <c r="Y253" s="180">
        <v>0</v>
      </c>
      <c r="Z253" s="181">
        <v>0</v>
      </c>
    </row>
    <row r="254" spans="1:26" x14ac:dyDescent="0.4">
      <c r="A254" s="104" t="s">
        <v>247</v>
      </c>
      <c r="B254" s="169">
        <v>17</v>
      </c>
      <c r="C254" s="87">
        <v>12</v>
      </c>
      <c r="D254" s="87">
        <v>5</v>
      </c>
      <c r="E254" s="87">
        <v>0</v>
      </c>
      <c r="F254" s="87">
        <v>0</v>
      </c>
      <c r="G254" s="87">
        <v>11</v>
      </c>
      <c r="H254" s="87">
        <v>6</v>
      </c>
      <c r="I254" s="87">
        <v>11</v>
      </c>
      <c r="J254" s="87">
        <v>0</v>
      </c>
      <c r="K254" s="87">
        <v>6</v>
      </c>
      <c r="L254" s="87">
        <v>11</v>
      </c>
      <c r="M254" s="87">
        <v>1</v>
      </c>
      <c r="N254" s="87">
        <v>0</v>
      </c>
      <c r="O254" s="87">
        <v>5</v>
      </c>
      <c r="P254" s="87">
        <v>0</v>
      </c>
      <c r="Q254" s="87">
        <v>16</v>
      </c>
      <c r="R254" s="87">
        <v>1</v>
      </c>
      <c r="S254" s="87">
        <v>5</v>
      </c>
      <c r="T254" s="87">
        <v>1</v>
      </c>
      <c r="U254" s="87">
        <v>0</v>
      </c>
      <c r="V254" s="87">
        <v>11</v>
      </c>
      <c r="W254" s="102">
        <v>5</v>
      </c>
      <c r="X254" s="102">
        <v>12</v>
      </c>
      <c r="Y254" s="102">
        <v>17</v>
      </c>
      <c r="Z254" s="182">
        <v>0</v>
      </c>
    </row>
    <row r="255" spans="1:26" x14ac:dyDescent="0.4">
      <c r="B255" s="170">
        <v>0</v>
      </c>
      <c r="C255" s="171">
        <v>0</v>
      </c>
      <c r="D255" s="171">
        <v>0</v>
      </c>
      <c r="E255" s="87">
        <v>0</v>
      </c>
      <c r="F255" s="87">
        <v>0</v>
      </c>
      <c r="G255" s="171">
        <v>0</v>
      </c>
      <c r="H255" s="171">
        <v>0</v>
      </c>
      <c r="I255" s="171">
        <v>0</v>
      </c>
      <c r="J255" s="87">
        <v>0</v>
      </c>
      <c r="K255" s="171">
        <v>0</v>
      </c>
      <c r="L255" s="171">
        <v>0</v>
      </c>
      <c r="M255" s="171">
        <v>0</v>
      </c>
      <c r="N255" s="87">
        <v>0</v>
      </c>
      <c r="O255" s="171">
        <v>0</v>
      </c>
      <c r="P255" s="87">
        <v>0</v>
      </c>
      <c r="Q255" s="171">
        <v>0</v>
      </c>
      <c r="R255" s="171">
        <v>0</v>
      </c>
      <c r="S255" s="171">
        <v>0</v>
      </c>
      <c r="T255" s="171">
        <v>0</v>
      </c>
      <c r="U255" s="87">
        <v>0</v>
      </c>
      <c r="V255" s="171">
        <v>0</v>
      </c>
      <c r="W255" s="180">
        <v>0</v>
      </c>
      <c r="X255" s="180">
        <v>0</v>
      </c>
      <c r="Y255" s="180">
        <v>0</v>
      </c>
      <c r="Z255" s="182">
        <v>0</v>
      </c>
    </row>
    <row r="256" spans="1:26" x14ac:dyDescent="0.4">
      <c r="A256" s="104" t="s">
        <v>248</v>
      </c>
      <c r="B256" s="169">
        <v>313</v>
      </c>
      <c r="C256" s="87">
        <v>120</v>
      </c>
      <c r="D256" s="87">
        <v>193</v>
      </c>
      <c r="E256" s="87">
        <v>29</v>
      </c>
      <c r="F256" s="87">
        <v>68</v>
      </c>
      <c r="G256" s="87">
        <v>105</v>
      </c>
      <c r="H256" s="87">
        <v>111</v>
      </c>
      <c r="I256" s="87">
        <v>105</v>
      </c>
      <c r="J256" s="87">
        <v>135</v>
      </c>
      <c r="K256" s="87">
        <v>73</v>
      </c>
      <c r="L256" s="87">
        <v>56</v>
      </c>
      <c r="M256" s="87">
        <v>101</v>
      </c>
      <c r="N256" s="87">
        <v>32</v>
      </c>
      <c r="O256" s="87">
        <v>122</v>
      </c>
      <c r="P256" s="87">
        <v>100</v>
      </c>
      <c r="Q256" s="87">
        <v>157</v>
      </c>
      <c r="R256" s="87">
        <v>54</v>
      </c>
      <c r="S256" s="87">
        <v>67</v>
      </c>
      <c r="T256" s="87">
        <v>64</v>
      </c>
      <c r="U256" s="87">
        <v>60</v>
      </c>
      <c r="V256" s="87">
        <v>122</v>
      </c>
      <c r="W256" s="102">
        <v>201</v>
      </c>
      <c r="X256" s="102">
        <v>99</v>
      </c>
      <c r="Y256" s="102">
        <v>165</v>
      </c>
      <c r="Z256" s="182">
        <v>131</v>
      </c>
    </row>
    <row r="257" spans="1:26" x14ac:dyDescent="0.4">
      <c r="B257" s="170">
        <v>0.01</v>
      </c>
      <c r="C257" s="171">
        <v>0.01</v>
      </c>
      <c r="D257" s="171">
        <v>0.01</v>
      </c>
      <c r="E257" s="171">
        <v>0.01</v>
      </c>
      <c r="F257" s="171">
        <v>0.01</v>
      </c>
      <c r="G257" s="171">
        <v>0.01</v>
      </c>
      <c r="H257" s="171">
        <v>0.01</v>
      </c>
      <c r="I257" s="171">
        <v>0.03</v>
      </c>
      <c r="J257" s="171">
        <v>0.02</v>
      </c>
      <c r="K257" s="171">
        <v>0</v>
      </c>
      <c r="L257" s="171">
        <v>0.02</v>
      </c>
      <c r="M257" s="171">
        <v>0.01</v>
      </c>
      <c r="N257" s="171">
        <v>0.01</v>
      </c>
      <c r="O257" s="171">
        <v>0.02</v>
      </c>
      <c r="P257" s="171">
        <v>0.01</v>
      </c>
      <c r="Q257" s="171">
        <v>0.02</v>
      </c>
      <c r="R257" s="171">
        <v>0.01</v>
      </c>
      <c r="S257" s="171">
        <v>0.01</v>
      </c>
      <c r="T257" s="171">
        <v>0.01</v>
      </c>
      <c r="U257" s="171">
        <v>0.01</v>
      </c>
      <c r="V257" s="171">
        <v>0.02</v>
      </c>
      <c r="W257" s="180">
        <v>0.01</v>
      </c>
      <c r="X257" s="180">
        <v>0.01</v>
      </c>
      <c r="Y257" s="180">
        <v>0.01</v>
      </c>
      <c r="Z257" s="181">
        <v>0.01</v>
      </c>
    </row>
    <row r="258" spans="1:26" x14ac:dyDescent="0.4">
      <c r="A258" s="104" t="s">
        <v>249</v>
      </c>
      <c r="B258" s="169">
        <v>222</v>
      </c>
      <c r="C258" s="87">
        <v>115</v>
      </c>
      <c r="D258" s="87">
        <v>107</v>
      </c>
      <c r="E258" s="87">
        <v>22</v>
      </c>
      <c r="F258" s="87">
        <v>45</v>
      </c>
      <c r="G258" s="87">
        <v>54</v>
      </c>
      <c r="H258" s="87">
        <v>101</v>
      </c>
      <c r="I258" s="87">
        <v>80</v>
      </c>
      <c r="J258" s="87">
        <v>93</v>
      </c>
      <c r="K258" s="87">
        <v>49</v>
      </c>
      <c r="L258" s="87">
        <v>33</v>
      </c>
      <c r="M258" s="87">
        <v>58</v>
      </c>
      <c r="N258" s="87">
        <v>39</v>
      </c>
      <c r="O258" s="87">
        <v>91</v>
      </c>
      <c r="P258" s="87">
        <v>87</v>
      </c>
      <c r="Q258" s="87">
        <v>124</v>
      </c>
      <c r="R258" s="87">
        <v>11</v>
      </c>
      <c r="S258" s="87">
        <v>38</v>
      </c>
      <c r="T258" s="87">
        <v>81</v>
      </c>
      <c r="U258" s="87">
        <v>15</v>
      </c>
      <c r="V258" s="87">
        <v>88</v>
      </c>
      <c r="W258" s="102">
        <v>174</v>
      </c>
      <c r="X258" s="102">
        <v>45</v>
      </c>
      <c r="Y258" s="102">
        <v>113</v>
      </c>
      <c r="Z258" s="182">
        <v>99</v>
      </c>
    </row>
    <row r="259" spans="1:26" x14ac:dyDescent="0.4">
      <c r="B259" s="170">
        <v>0.01</v>
      </c>
      <c r="C259" s="171">
        <v>0.01</v>
      </c>
      <c r="D259" s="171">
        <v>0.01</v>
      </c>
      <c r="E259" s="171">
        <v>0.01</v>
      </c>
      <c r="F259" s="171">
        <v>0.01</v>
      </c>
      <c r="G259" s="171">
        <v>0.01</v>
      </c>
      <c r="H259" s="171">
        <v>0.01</v>
      </c>
      <c r="I259" s="171">
        <v>0.02</v>
      </c>
      <c r="J259" s="171">
        <v>0.01</v>
      </c>
      <c r="K259" s="171">
        <v>0</v>
      </c>
      <c r="L259" s="171">
        <v>0.01</v>
      </c>
      <c r="M259" s="171">
        <v>0</v>
      </c>
      <c r="N259" s="171">
        <v>0.01</v>
      </c>
      <c r="O259" s="171">
        <v>0.01</v>
      </c>
      <c r="P259" s="171">
        <v>0.01</v>
      </c>
      <c r="Q259" s="171">
        <v>0.01</v>
      </c>
      <c r="R259" s="171">
        <v>0</v>
      </c>
      <c r="S259" s="171">
        <v>0.01</v>
      </c>
      <c r="T259" s="171">
        <v>0.01</v>
      </c>
      <c r="U259" s="171">
        <v>0</v>
      </c>
      <c r="V259" s="171">
        <v>0.01</v>
      </c>
      <c r="W259" s="180">
        <v>0.01</v>
      </c>
      <c r="X259" s="180">
        <v>0.01</v>
      </c>
      <c r="Y259" s="180">
        <v>0.01</v>
      </c>
      <c r="Z259" s="181">
        <v>0.01</v>
      </c>
    </row>
    <row r="260" spans="1:26" x14ac:dyDescent="0.4">
      <c r="A260" s="104" t="s">
        <v>250</v>
      </c>
      <c r="B260" s="169">
        <v>31</v>
      </c>
      <c r="C260" s="87">
        <v>25</v>
      </c>
      <c r="D260" s="87">
        <v>6</v>
      </c>
      <c r="E260" s="87">
        <v>0</v>
      </c>
      <c r="F260" s="87">
        <v>4</v>
      </c>
      <c r="G260" s="87">
        <v>4</v>
      </c>
      <c r="H260" s="87">
        <v>23</v>
      </c>
      <c r="I260" s="87">
        <v>11</v>
      </c>
      <c r="J260" s="87">
        <v>11</v>
      </c>
      <c r="K260" s="87">
        <v>9</v>
      </c>
      <c r="L260" s="87">
        <v>4</v>
      </c>
      <c r="M260" s="87">
        <v>17</v>
      </c>
      <c r="N260" s="87">
        <v>0</v>
      </c>
      <c r="O260" s="87">
        <v>10</v>
      </c>
      <c r="P260" s="87">
        <v>5</v>
      </c>
      <c r="Q260" s="87">
        <v>24</v>
      </c>
      <c r="R260" s="87">
        <v>3</v>
      </c>
      <c r="S260" s="87">
        <v>5</v>
      </c>
      <c r="T260" s="87">
        <v>14</v>
      </c>
      <c r="U260" s="87">
        <v>3</v>
      </c>
      <c r="V260" s="87">
        <v>9</v>
      </c>
      <c r="W260" s="102">
        <v>11</v>
      </c>
      <c r="X260" s="102">
        <v>11</v>
      </c>
      <c r="Y260" s="102">
        <v>6</v>
      </c>
      <c r="Z260" s="182">
        <v>17</v>
      </c>
    </row>
    <row r="261" spans="1:26" x14ac:dyDescent="0.4">
      <c r="B261" s="170">
        <v>0</v>
      </c>
      <c r="C261" s="171">
        <v>0</v>
      </c>
      <c r="D261" s="171">
        <v>0</v>
      </c>
      <c r="E261" s="87">
        <v>0</v>
      </c>
      <c r="F261" s="171">
        <v>0</v>
      </c>
      <c r="G261" s="171">
        <v>0</v>
      </c>
      <c r="H261" s="171">
        <v>0</v>
      </c>
      <c r="I261" s="171">
        <v>0</v>
      </c>
      <c r="J261" s="171">
        <v>0</v>
      </c>
      <c r="K261" s="171">
        <v>0</v>
      </c>
      <c r="L261" s="171">
        <v>0</v>
      </c>
      <c r="M261" s="171">
        <v>0</v>
      </c>
      <c r="N261" s="87">
        <v>0</v>
      </c>
      <c r="O261" s="171">
        <v>0</v>
      </c>
      <c r="P261" s="171">
        <v>0</v>
      </c>
      <c r="Q261" s="171">
        <v>0</v>
      </c>
      <c r="R261" s="171">
        <v>0</v>
      </c>
      <c r="S261" s="171">
        <v>0</v>
      </c>
      <c r="T261" s="171">
        <v>0</v>
      </c>
      <c r="U261" s="171">
        <v>0</v>
      </c>
      <c r="V261" s="171">
        <v>0</v>
      </c>
      <c r="W261" s="180">
        <v>0</v>
      </c>
      <c r="X261" s="180">
        <v>0</v>
      </c>
      <c r="Y261" s="180">
        <v>0</v>
      </c>
      <c r="Z261" s="181">
        <v>0</v>
      </c>
    </row>
    <row r="262" spans="1:26" x14ac:dyDescent="0.4">
      <c r="A262" s="104" t="s">
        <v>251</v>
      </c>
      <c r="B262" s="169">
        <v>106</v>
      </c>
      <c r="C262" s="87">
        <v>58</v>
      </c>
      <c r="D262" s="87">
        <v>49</v>
      </c>
      <c r="E262" s="87">
        <v>11</v>
      </c>
      <c r="F262" s="87">
        <v>32</v>
      </c>
      <c r="G262" s="87">
        <v>11</v>
      </c>
      <c r="H262" s="87">
        <v>52</v>
      </c>
      <c r="I262" s="87">
        <v>48</v>
      </c>
      <c r="J262" s="87">
        <v>43</v>
      </c>
      <c r="K262" s="87">
        <v>15</v>
      </c>
      <c r="L262" s="87">
        <v>6</v>
      </c>
      <c r="M262" s="87">
        <v>38</v>
      </c>
      <c r="N262" s="87">
        <v>5</v>
      </c>
      <c r="O262" s="87">
        <v>57</v>
      </c>
      <c r="P262" s="87">
        <v>28</v>
      </c>
      <c r="Q262" s="87">
        <v>48</v>
      </c>
      <c r="R262" s="87">
        <v>30</v>
      </c>
      <c r="S262" s="87">
        <v>20</v>
      </c>
      <c r="T262" s="87">
        <v>25</v>
      </c>
      <c r="U262" s="87">
        <v>21</v>
      </c>
      <c r="V262" s="87">
        <v>40</v>
      </c>
      <c r="W262" s="102">
        <v>77</v>
      </c>
      <c r="X262" s="102">
        <v>27</v>
      </c>
      <c r="Y262" s="102">
        <v>41</v>
      </c>
      <c r="Z262" s="182">
        <v>52</v>
      </c>
    </row>
    <row r="263" spans="1:26" x14ac:dyDescent="0.4">
      <c r="B263" s="170">
        <v>0</v>
      </c>
      <c r="C263" s="171">
        <v>0</v>
      </c>
      <c r="D263" s="171">
        <v>0</v>
      </c>
      <c r="E263" s="171">
        <v>0</v>
      </c>
      <c r="F263" s="171">
        <v>0</v>
      </c>
      <c r="G263" s="171">
        <v>0</v>
      </c>
      <c r="H263" s="171">
        <v>0.01</v>
      </c>
      <c r="I263" s="171">
        <v>0.01</v>
      </c>
      <c r="J263" s="171">
        <v>0</v>
      </c>
      <c r="K263" s="171">
        <v>0</v>
      </c>
      <c r="L263" s="171">
        <v>0</v>
      </c>
      <c r="M263" s="171">
        <v>0</v>
      </c>
      <c r="N263" s="171">
        <v>0</v>
      </c>
      <c r="O263" s="171">
        <v>0.01</v>
      </c>
      <c r="P263" s="171">
        <v>0</v>
      </c>
      <c r="Q263" s="171">
        <v>0</v>
      </c>
      <c r="R263" s="171">
        <v>0</v>
      </c>
      <c r="S263" s="171">
        <v>0</v>
      </c>
      <c r="T263" s="171">
        <v>0</v>
      </c>
      <c r="U263" s="171">
        <v>0</v>
      </c>
      <c r="V263" s="171">
        <v>0.01</v>
      </c>
      <c r="W263" s="180">
        <v>0</v>
      </c>
      <c r="X263" s="180">
        <v>0</v>
      </c>
      <c r="Y263" s="180">
        <v>0</v>
      </c>
      <c r="Z263" s="181">
        <v>0</v>
      </c>
    </row>
    <row r="264" spans="1:26" x14ac:dyDescent="0.4">
      <c r="A264" s="104" t="s">
        <v>252</v>
      </c>
      <c r="B264" s="169">
        <v>275</v>
      </c>
      <c r="C264" s="87">
        <v>132</v>
      </c>
      <c r="D264" s="87">
        <v>143</v>
      </c>
      <c r="E264" s="87">
        <v>28</v>
      </c>
      <c r="F264" s="87">
        <v>34</v>
      </c>
      <c r="G264" s="87">
        <v>67</v>
      </c>
      <c r="H264" s="87">
        <v>145</v>
      </c>
      <c r="I264" s="87">
        <v>103</v>
      </c>
      <c r="J264" s="87">
        <v>117</v>
      </c>
      <c r="K264" s="87">
        <v>55</v>
      </c>
      <c r="L264" s="87">
        <v>55</v>
      </c>
      <c r="M264" s="87">
        <v>95</v>
      </c>
      <c r="N264" s="87">
        <v>40</v>
      </c>
      <c r="O264" s="87">
        <v>78</v>
      </c>
      <c r="P264" s="87">
        <v>126</v>
      </c>
      <c r="Q264" s="87">
        <v>125</v>
      </c>
      <c r="R264" s="87">
        <v>23</v>
      </c>
      <c r="S264" s="87">
        <v>55</v>
      </c>
      <c r="T264" s="87">
        <v>84</v>
      </c>
      <c r="U264" s="87">
        <v>66</v>
      </c>
      <c r="V264" s="87">
        <v>70</v>
      </c>
      <c r="W264" s="102">
        <v>188</v>
      </c>
      <c r="X264" s="102">
        <v>83</v>
      </c>
      <c r="Y264" s="102">
        <v>122</v>
      </c>
      <c r="Z264" s="182">
        <v>141</v>
      </c>
    </row>
    <row r="265" spans="1:26" x14ac:dyDescent="0.4">
      <c r="B265" s="170">
        <v>0.01</v>
      </c>
      <c r="C265" s="171">
        <v>0.01</v>
      </c>
      <c r="D265" s="171">
        <v>0.01</v>
      </c>
      <c r="E265" s="171">
        <v>0.01</v>
      </c>
      <c r="F265" s="171">
        <v>0</v>
      </c>
      <c r="G265" s="171">
        <v>0.01</v>
      </c>
      <c r="H265" s="171">
        <v>0.02</v>
      </c>
      <c r="I265" s="171">
        <v>0.03</v>
      </c>
      <c r="J265" s="171">
        <v>0.01</v>
      </c>
      <c r="K265" s="171">
        <v>0</v>
      </c>
      <c r="L265" s="171">
        <v>0.02</v>
      </c>
      <c r="M265" s="171">
        <v>0.01</v>
      </c>
      <c r="N265" s="171">
        <v>0.01</v>
      </c>
      <c r="O265" s="171">
        <v>0.01</v>
      </c>
      <c r="P265" s="171">
        <v>0.01</v>
      </c>
      <c r="Q265" s="171">
        <v>0.01</v>
      </c>
      <c r="R265" s="171">
        <v>0</v>
      </c>
      <c r="S265" s="171">
        <v>0.01</v>
      </c>
      <c r="T265" s="171">
        <v>0.01</v>
      </c>
      <c r="U265" s="171">
        <v>0.01</v>
      </c>
      <c r="V265" s="171">
        <v>0.01</v>
      </c>
      <c r="W265" s="180">
        <v>0.01</v>
      </c>
      <c r="X265" s="180">
        <v>0.01</v>
      </c>
      <c r="Y265" s="180">
        <v>0.01</v>
      </c>
      <c r="Z265" s="181">
        <v>0.01</v>
      </c>
    </row>
    <row r="266" spans="1:26" x14ac:dyDescent="0.4">
      <c r="A266" s="104" t="s">
        <v>253</v>
      </c>
      <c r="B266" s="169">
        <v>97</v>
      </c>
      <c r="C266" s="87">
        <v>38</v>
      </c>
      <c r="D266" s="87">
        <v>59</v>
      </c>
      <c r="E266" s="87">
        <v>2</v>
      </c>
      <c r="F266" s="87">
        <v>16</v>
      </c>
      <c r="G266" s="87">
        <v>33</v>
      </c>
      <c r="H266" s="87">
        <v>45</v>
      </c>
      <c r="I266" s="87">
        <v>23</v>
      </c>
      <c r="J266" s="87">
        <v>52</v>
      </c>
      <c r="K266" s="87">
        <v>22</v>
      </c>
      <c r="L266" s="87">
        <v>33</v>
      </c>
      <c r="M266" s="87">
        <v>31</v>
      </c>
      <c r="N266" s="87">
        <v>1</v>
      </c>
      <c r="O266" s="87">
        <v>26</v>
      </c>
      <c r="P266" s="87">
        <v>17</v>
      </c>
      <c r="Q266" s="87">
        <v>53</v>
      </c>
      <c r="R266" s="87">
        <v>26</v>
      </c>
      <c r="S266" s="87">
        <v>18</v>
      </c>
      <c r="T266" s="87">
        <v>30</v>
      </c>
      <c r="U266" s="87">
        <v>12</v>
      </c>
      <c r="V266" s="87">
        <v>37</v>
      </c>
      <c r="W266" s="102">
        <v>53</v>
      </c>
      <c r="X266" s="102">
        <v>32</v>
      </c>
      <c r="Y266" s="102">
        <v>48</v>
      </c>
      <c r="Z266" s="182">
        <v>44</v>
      </c>
    </row>
    <row r="267" spans="1:26" x14ac:dyDescent="0.4">
      <c r="B267" s="170">
        <v>0</v>
      </c>
      <c r="C267" s="171">
        <v>0</v>
      </c>
      <c r="D267" s="171">
        <v>0</v>
      </c>
      <c r="E267" s="171">
        <v>0</v>
      </c>
      <c r="F267" s="171">
        <v>0</v>
      </c>
      <c r="G267" s="171">
        <v>0</v>
      </c>
      <c r="H267" s="171">
        <v>0.01</v>
      </c>
      <c r="I267" s="171">
        <v>0.01</v>
      </c>
      <c r="J267" s="171">
        <v>0.01</v>
      </c>
      <c r="K267" s="171">
        <v>0</v>
      </c>
      <c r="L267" s="171">
        <v>0.01</v>
      </c>
      <c r="M267" s="171">
        <v>0</v>
      </c>
      <c r="N267" s="171">
        <v>0</v>
      </c>
      <c r="O267" s="171">
        <v>0</v>
      </c>
      <c r="P267" s="171">
        <v>0</v>
      </c>
      <c r="Q267" s="171">
        <v>0.01</v>
      </c>
      <c r="R267" s="171">
        <v>0</v>
      </c>
      <c r="S267" s="171">
        <v>0</v>
      </c>
      <c r="T267" s="171">
        <v>0</v>
      </c>
      <c r="U267" s="171">
        <v>0</v>
      </c>
      <c r="V267" s="171">
        <v>0.01</v>
      </c>
      <c r="W267" s="180">
        <v>0</v>
      </c>
      <c r="X267" s="180">
        <v>0</v>
      </c>
      <c r="Y267" s="180">
        <v>0</v>
      </c>
      <c r="Z267" s="181">
        <v>0</v>
      </c>
    </row>
    <row r="268" spans="1:26" x14ac:dyDescent="0.4">
      <c r="A268" s="104" t="s">
        <v>254</v>
      </c>
      <c r="B268" s="169">
        <v>30</v>
      </c>
      <c r="C268" s="87">
        <v>16</v>
      </c>
      <c r="D268" s="87">
        <v>14</v>
      </c>
      <c r="E268" s="87">
        <v>1</v>
      </c>
      <c r="F268" s="87">
        <v>14</v>
      </c>
      <c r="G268" s="87">
        <v>15</v>
      </c>
      <c r="H268" s="87">
        <v>0</v>
      </c>
      <c r="I268" s="87">
        <v>0</v>
      </c>
      <c r="J268" s="87">
        <v>28</v>
      </c>
      <c r="K268" s="87">
        <v>2</v>
      </c>
      <c r="L268" s="87">
        <v>1</v>
      </c>
      <c r="M268" s="87">
        <v>29</v>
      </c>
      <c r="N268" s="87">
        <v>0</v>
      </c>
      <c r="O268" s="87">
        <v>0</v>
      </c>
      <c r="P268" s="87">
        <v>0</v>
      </c>
      <c r="Q268" s="87">
        <v>2</v>
      </c>
      <c r="R268" s="87">
        <v>28</v>
      </c>
      <c r="S268" s="87">
        <v>0</v>
      </c>
      <c r="T268" s="87">
        <v>14</v>
      </c>
      <c r="U268" s="87">
        <v>0</v>
      </c>
      <c r="V268" s="87">
        <v>16</v>
      </c>
      <c r="W268" s="102">
        <v>28</v>
      </c>
      <c r="X268" s="102">
        <v>2</v>
      </c>
      <c r="Y268" s="102">
        <v>14</v>
      </c>
      <c r="Z268" s="182">
        <v>2</v>
      </c>
    </row>
    <row r="269" spans="1:26" x14ac:dyDescent="0.4">
      <c r="B269" s="170">
        <v>0</v>
      </c>
      <c r="C269" s="171">
        <v>0</v>
      </c>
      <c r="D269" s="171">
        <v>0</v>
      </c>
      <c r="E269" s="171">
        <v>0</v>
      </c>
      <c r="F269" s="171">
        <v>0</v>
      </c>
      <c r="G269" s="171">
        <v>0</v>
      </c>
      <c r="H269" s="87">
        <v>0</v>
      </c>
      <c r="I269" s="87">
        <v>0</v>
      </c>
      <c r="J269" s="171">
        <v>0</v>
      </c>
      <c r="K269" s="171">
        <v>0</v>
      </c>
      <c r="L269" s="171">
        <v>0</v>
      </c>
      <c r="M269" s="171">
        <v>0</v>
      </c>
      <c r="N269" s="87">
        <v>0</v>
      </c>
      <c r="O269" s="87">
        <v>0</v>
      </c>
      <c r="P269" s="87">
        <v>0</v>
      </c>
      <c r="Q269" s="171">
        <v>0</v>
      </c>
      <c r="R269" s="171">
        <v>0</v>
      </c>
      <c r="S269" s="87">
        <v>0</v>
      </c>
      <c r="T269" s="171">
        <v>0</v>
      </c>
      <c r="U269" s="87">
        <v>0</v>
      </c>
      <c r="V269" s="171">
        <v>0</v>
      </c>
      <c r="W269" s="180">
        <v>0</v>
      </c>
      <c r="X269" s="180">
        <v>0</v>
      </c>
      <c r="Y269" s="180">
        <v>0</v>
      </c>
      <c r="Z269" s="181">
        <v>0</v>
      </c>
    </row>
    <row r="270" spans="1:26" x14ac:dyDescent="0.4">
      <c r="A270" s="104" t="s">
        <v>255</v>
      </c>
      <c r="B270" s="169">
        <v>30</v>
      </c>
      <c r="C270" s="87">
        <v>9</v>
      </c>
      <c r="D270" s="87">
        <v>21</v>
      </c>
      <c r="E270" s="87">
        <v>0</v>
      </c>
      <c r="F270" s="87">
        <v>5</v>
      </c>
      <c r="G270" s="87">
        <v>14</v>
      </c>
      <c r="H270" s="87">
        <v>11</v>
      </c>
      <c r="I270" s="87">
        <v>11</v>
      </c>
      <c r="J270" s="87">
        <v>14</v>
      </c>
      <c r="K270" s="87">
        <v>4</v>
      </c>
      <c r="L270" s="87">
        <v>0</v>
      </c>
      <c r="M270" s="87">
        <v>18</v>
      </c>
      <c r="N270" s="87">
        <v>0</v>
      </c>
      <c r="O270" s="87">
        <v>11</v>
      </c>
      <c r="P270" s="87">
        <v>0</v>
      </c>
      <c r="Q270" s="87">
        <v>25</v>
      </c>
      <c r="R270" s="87">
        <v>4</v>
      </c>
      <c r="S270" s="87">
        <v>5</v>
      </c>
      <c r="T270" s="87">
        <v>4</v>
      </c>
      <c r="U270" s="87">
        <v>0</v>
      </c>
      <c r="V270" s="87">
        <v>21</v>
      </c>
      <c r="W270" s="102">
        <v>20</v>
      </c>
      <c r="X270" s="102">
        <v>10</v>
      </c>
      <c r="Y270" s="102">
        <v>15</v>
      </c>
      <c r="Z270" s="182">
        <v>14</v>
      </c>
    </row>
    <row r="271" spans="1:26" x14ac:dyDescent="0.4">
      <c r="B271" s="170">
        <v>0</v>
      </c>
      <c r="C271" s="171">
        <v>0</v>
      </c>
      <c r="D271" s="171">
        <v>0</v>
      </c>
      <c r="E271" s="87">
        <v>0</v>
      </c>
      <c r="F271" s="171">
        <v>0</v>
      </c>
      <c r="G271" s="171">
        <v>0</v>
      </c>
      <c r="H271" s="171">
        <v>0</v>
      </c>
      <c r="I271" s="171">
        <v>0</v>
      </c>
      <c r="J271" s="171">
        <v>0</v>
      </c>
      <c r="K271" s="171">
        <v>0</v>
      </c>
      <c r="L271" s="87">
        <v>0</v>
      </c>
      <c r="M271" s="171">
        <v>0</v>
      </c>
      <c r="N271" s="87">
        <v>0</v>
      </c>
      <c r="O271" s="171">
        <v>0</v>
      </c>
      <c r="P271" s="87">
        <v>0</v>
      </c>
      <c r="Q271" s="171">
        <v>0</v>
      </c>
      <c r="R271" s="171">
        <v>0</v>
      </c>
      <c r="S271" s="171">
        <v>0</v>
      </c>
      <c r="T271" s="171">
        <v>0</v>
      </c>
      <c r="U271" s="87">
        <v>0</v>
      </c>
      <c r="V271" s="171">
        <v>0</v>
      </c>
      <c r="W271" s="180">
        <v>0</v>
      </c>
      <c r="X271" s="180">
        <v>0</v>
      </c>
      <c r="Y271" s="180">
        <v>0</v>
      </c>
      <c r="Z271" s="181">
        <v>0</v>
      </c>
    </row>
    <row r="272" spans="1:26" x14ac:dyDescent="0.4">
      <c r="A272" s="104" t="s">
        <v>256</v>
      </c>
      <c r="B272" s="169">
        <v>274</v>
      </c>
      <c r="C272" s="87">
        <v>133</v>
      </c>
      <c r="D272" s="87">
        <v>142</v>
      </c>
      <c r="E272" s="87">
        <v>17</v>
      </c>
      <c r="F272" s="87">
        <v>40</v>
      </c>
      <c r="G272" s="87">
        <v>42</v>
      </c>
      <c r="H272" s="87">
        <v>175</v>
      </c>
      <c r="I272" s="87">
        <v>93</v>
      </c>
      <c r="J272" s="87">
        <v>127</v>
      </c>
      <c r="K272" s="87">
        <v>54</v>
      </c>
      <c r="L272" s="87">
        <v>22</v>
      </c>
      <c r="M272" s="87">
        <v>90</v>
      </c>
      <c r="N272" s="87">
        <v>33</v>
      </c>
      <c r="O272" s="87">
        <v>129</v>
      </c>
      <c r="P272" s="87">
        <v>33</v>
      </c>
      <c r="Q272" s="87">
        <v>180</v>
      </c>
      <c r="R272" s="87">
        <v>61</v>
      </c>
      <c r="S272" s="87">
        <v>59</v>
      </c>
      <c r="T272" s="87">
        <v>80</v>
      </c>
      <c r="U272" s="87">
        <v>54</v>
      </c>
      <c r="V272" s="87">
        <v>81</v>
      </c>
      <c r="W272" s="102">
        <v>153</v>
      </c>
      <c r="X272" s="102">
        <v>115</v>
      </c>
      <c r="Y272" s="102">
        <v>123</v>
      </c>
      <c r="Z272" s="182">
        <v>143</v>
      </c>
    </row>
    <row r="273" spans="1:26" x14ac:dyDescent="0.4">
      <c r="B273" s="170">
        <v>0.01</v>
      </c>
      <c r="C273" s="171">
        <v>0.01</v>
      </c>
      <c r="D273" s="171">
        <v>0.01</v>
      </c>
      <c r="E273" s="171">
        <v>0</v>
      </c>
      <c r="F273" s="171">
        <v>0.01</v>
      </c>
      <c r="G273" s="171">
        <v>0.01</v>
      </c>
      <c r="H273" s="171">
        <v>0.02</v>
      </c>
      <c r="I273" s="171">
        <v>0.03</v>
      </c>
      <c r="J273" s="171">
        <v>0.01</v>
      </c>
      <c r="K273" s="171">
        <v>0</v>
      </c>
      <c r="L273" s="171">
        <v>0.01</v>
      </c>
      <c r="M273" s="171">
        <v>0.01</v>
      </c>
      <c r="N273" s="171">
        <v>0.01</v>
      </c>
      <c r="O273" s="171">
        <v>0.02</v>
      </c>
      <c r="P273" s="171">
        <v>0</v>
      </c>
      <c r="Q273" s="171">
        <v>0.02</v>
      </c>
      <c r="R273" s="171">
        <v>0.01</v>
      </c>
      <c r="S273" s="171">
        <v>0.01</v>
      </c>
      <c r="T273" s="171">
        <v>0.01</v>
      </c>
      <c r="U273" s="171">
        <v>0.01</v>
      </c>
      <c r="V273" s="171">
        <v>0.01</v>
      </c>
      <c r="W273" s="180">
        <v>0.01</v>
      </c>
      <c r="X273" s="180">
        <v>0.01</v>
      </c>
      <c r="Y273" s="180">
        <v>0.01</v>
      </c>
      <c r="Z273" s="181">
        <v>0.01</v>
      </c>
    </row>
    <row r="274" spans="1:26" x14ac:dyDescent="0.4">
      <c r="A274" s="104" t="s">
        <v>257</v>
      </c>
      <c r="B274" s="169">
        <v>68</v>
      </c>
      <c r="C274" s="87">
        <v>44</v>
      </c>
      <c r="D274" s="87">
        <v>23</v>
      </c>
      <c r="E274" s="87">
        <v>5</v>
      </c>
      <c r="F274" s="87">
        <v>13</v>
      </c>
      <c r="G274" s="87">
        <v>18</v>
      </c>
      <c r="H274" s="87">
        <v>32</v>
      </c>
      <c r="I274" s="87">
        <v>24</v>
      </c>
      <c r="J274" s="87">
        <v>32</v>
      </c>
      <c r="K274" s="87">
        <v>12</v>
      </c>
      <c r="L274" s="87">
        <v>11</v>
      </c>
      <c r="M274" s="87">
        <v>16</v>
      </c>
      <c r="N274" s="87">
        <v>12</v>
      </c>
      <c r="O274" s="87">
        <v>29</v>
      </c>
      <c r="P274" s="87">
        <v>14</v>
      </c>
      <c r="Q274" s="87">
        <v>36</v>
      </c>
      <c r="R274" s="87">
        <v>18</v>
      </c>
      <c r="S274" s="87">
        <v>0</v>
      </c>
      <c r="T274" s="87">
        <v>0</v>
      </c>
      <c r="U274" s="87">
        <v>17</v>
      </c>
      <c r="V274" s="87">
        <v>51</v>
      </c>
      <c r="W274" s="102">
        <v>19</v>
      </c>
      <c r="X274" s="102">
        <v>44</v>
      </c>
      <c r="Y274" s="102">
        <v>26</v>
      </c>
      <c r="Z274" s="182">
        <v>32</v>
      </c>
    </row>
    <row r="275" spans="1:26" x14ac:dyDescent="0.4">
      <c r="B275" s="170">
        <v>0</v>
      </c>
      <c r="C275" s="171">
        <v>0</v>
      </c>
      <c r="D275" s="171">
        <v>0</v>
      </c>
      <c r="E275" s="171">
        <v>0</v>
      </c>
      <c r="F275" s="171">
        <v>0</v>
      </c>
      <c r="G275" s="171">
        <v>0</v>
      </c>
      <c r="H275" s="171">
        <v>0</v>
      </c>
      <c r="I275" s="171">
        <v>0.01</v>
      </c>
      <c r="J275" s="171">
        <v>0</v>
      </c>
      <c r="K275" s="171">
        <v>0</v>
      </c>
      <c r="L275" s="171">
        <v>0</v>
      </c>
      <c r="M275" s="171">
        <v>0</v>
      </c>
      <c r="N275" s="171">
        <v>0</v>
      </c>
      <c r="O275" s="171">
        <v>0</v>
      </c>
      <c r="P275" s="171">
        <v>0</v>
      </c>
      <c r="Q275" s="171">
        <v>0</v>
      </c>
      <c r="R275" s="171">
        <v>0</v>
      </c>
      <c r="S275" s="87">
        <v>0</v>
      </c>
      <c r="T275" s="87">
        <v>0</v>
      </c>
      <c r="U275" s="171">
        <v>0</v>
      </c>
      <c r="V275" s="171">
        <v>0.01</v>
      </c>
      <c r="W275" s="180">
        <v>0</v>
      </c>
      <c r="X275" s="180">
        <v>0.01</v>
      </c>
      <c r="Y275" s="180">
        <v>0</v>
      </c>
      <c r="Z275" s="181">
        <v>0</v>
      </c>
    </row>
    <row r="276" spans="1:26" x14ac:dyDescent="0.4">
      <c r="A276" s="104" t="s">
        <v>258</v>
      </c>
      <c r="B276" s="169">
        <v>252</v>
      </c>
      <c r="C276" s="87">
        <v>132</v>
      </c>
      <c r="D276" s="87">
        <v>118</v>
      </c>
      <c r="E276" s="87">
        <v>33</v>
      </c>
      <c r="F276" s="87">
        <v>40</v>
      </c>
      <c r="G276" s="87">
        <v>79</v>
      </c>
      <c r="H276" s="87">
        <v>100</v>
      </c>
      <c r="I276" s="87">
        <v>84</v>
      </c>
      <c r="J276" s="87">
        <v>107</v>
      </c>
      <c r="K276" s="87">
        <v>60</v>
      </c>
      <c r="L276" s="87">
        <v>36</v>
      </c>
      <c r="M276" s="87">
        <v>95</v>
      </c>
      <c r="N276" s="87">
        <v>46</v>
      </c>
      <c r="O276" s="87">
        <v>75</v>
      </c>
      <c r="P276" s="87">
        <v>63</v>
      </c>
      <c r="Q276" s="87">
        <v>123</v>
      </c>
      <c r="R276" s="87">
        <v>66</v>
      </c>
      <c r="S276" s="87">
        <v>37</v>
      </c>
      <c r="T276" s="87">
        <v>72</v>
      </c>
      <c r="U276" s="87">
        <v>38</v>
      </c>
      <c r="V276" s="87">
        <v>104</v>
      </c>
      <c r="W276" s="102">
        <v>143</v>
      </c>
      <c r="X276" s="102">
        <v>101</v>
      </c>
      <c r="Y276" s="102">
        <v>105</v>
      </c>
      <c r="Z276" s="182">
        <v>138</v>
      </c>
    </row>
    <row r="277" spans="1:26" x14ac:dyDescent="0.4">
      <c r="B277" s="170">
        <v>0.01</v>
      </c>
      <c r="C277" s="171">
        <v>0.01</v>
      </c>
      <c r="D277" s="171">
        <v>0.01</v>
      </c>
      <c r="E277" s="171">
        <v>0.01</v>
      </c>
      <c r="F277" s="171">
        <v>0.01</v>
      </c>
      <c r="G277" s="171">
        <v>0.01</v>
      </c>
      <c r="H277" s="171">
        <v>0.01</v>
      </c>
      <c r="I277" s="171">
        <v>0.02</v>
      </c>
      <c r="J277" s="171">
        <v>0.01</v>
      </c>
      <c r="K277" s="171">
        <v>0</v>
      </c>
      <c r="L277" s="171">
        <v>0.01</v>
      </c>
      <c r="M277" s="171">
        <v>0.01</v>
      </c>
      <c r="N277" s="171">
        <v>0.02</v>
      </c>
      <c r="O277" s="171">
        <v>0.01</v>
      </c>
      <c r="P277" s="171">
        <v>0.01</v>
      </c>
      <c r="Q277" s="171">
        <v>0.01</v>
      </c>
      <c r="R277" s="171">
        <v>0.01</v>
      </c>
      <c r="S277" s="171">
        <v>0.01</v>
      </c>
      <c r="T277" s="171">
        <v>0.01</v>
      </c>
      <c r="U277" s="171">
        <v>0.01</v>
      </c>
      <c r="V277" s="171">
        <v>0.02</v>
      </c>
      <c r="W277" s="180">
        <v>0.01</v>
      </c>
      <c r="X277" s="180">
        <v>0.01</v>
      </c>
      <c r="Y277" s="180">
        <v>0.01</v>
      </c>
      <c r="Z277" s="181">
        <v>0.01</v>
      </c>
    </row>
    <row r="278" spans="1:26" x14ac:dyDescent="0.4">
      <c r="A278" s="104" t="s">
        <v>259</v>
      </c>
      <c r="B278" s="169">
        <v>206</v>
      </c>
      <c r="C278" s="87">
        <v>107</v>
      </c>
      <c r="D278" s="87">
        <v>99</v>
      </c>
      <c r="E278" s="87">
        <v>26</v>
      </c>
      <c r="F278" s="87">
        <v>65</v>
      </c>
      <c r="G278" s="87">
        <v>36</v>
      </c>
      <c r="H278" s="87">
        <v>79</v>
      </c>
      <c r="I278" s="87">
        <v>91</v>
      </c>
      <c r="J278" s="87">
        <v>63</v>
      </c>
      <c r="K278" s="87">
        <v>52</v>
      </c>
      <c r="L278" s="87">
        <v>47</v>
      </c>
      <c r="M278" s="87">
        <v>85</v>
      </c>
      <c r="N278" s="87">
        <v>26</v>
      </c>
      <c r="O278" s="87">
        <v>48</v>
      </c>
      <c r="P278" s="87">
        <v>36</v>
      </c>
      <c r="Q278" s="87">
        <v>123</v>
      </c>
      <c r="R278" s="87">
        <v>47</v>
      </c>
      <c r="S278" s="87">
        <v>51</v>
      </c>
      <c r="T278" s="87">
        <v>60</v>
      </c>
      <c r="U278" s="87">
        <v>31</v>
      </c>
      <c r="V278" s="87">
        <v>64</v>
      </c>
      <c r="W278" s="102">
        <v>155</v>
      </c>
      <c r="X278" s="102">
        <v>50</v>
      </c>
      <c r="Y278" s="102">
        <v>145</v>
      </c>
      <c r="Z278" s="182">
        <v>61</v>
      </c>
    </row>
    <row r="279" spans="1:26" x14ac:dyDescent="0.4">
      <c r="B279" s="170">
        <v>0.01</v>
      </c>
      <c r="C279" s="171">
        <v>0.01</v>
      </c>
      <c r="D279" s="171">
        <v>0.01</v>
      </c>
      <c r="E279" s="171">
        <v>0.01</v>
      </c>
      <c r="F279" s="171">
        <v>0.01</v>
      </c>
      <c r="G279" s="171">
        <v>0</v>
      </c>
      <c r="H279" s="171">
        <v>0.01</v>
      </c>
      <c r="I279" s="171">
        <v>0.03</v>
      </c>
      <c r="J279" s="171">
        <v>0.01</v>
      </c>
      <c r="K279" s="171">
        <v>0</v>
      </c>
      <c r="L279" s="171">
        <v>0.02</v>
      </c>
      <c r="M279" s="171">
        <v>0.01</v>
      </c>
      <c r="N279" s="171">
        <v>0.01</v>
      </c>
      <c r="O279" s="171">
        <v>0.01</v>
      </c>
      <c r="P279" s="171">
        <v>0</v>
      </c>
      <c r="Q279" s="171">
        <v>0.01</v>
      </c>
      <c r="R279" s="171">
        <v>0.01</v>
      </c>
      <c r="S279" s="171">
        <v>0.01</v>
      </c>
      <c r="T279" s="171">
        <v>0.01</v>
      </c>
      <c r="U279" s="171">
        <v>0.01</v>
      </c>
      <c r="V279" s="171">
        <v>0.01</v>
      </c>
      <c r="W279" s="180">
        <v>0.01</v>
      </c>
      <c r="X279" s="180">
        <v>0.01</v>
      </c>
      <c r="Y279" s="180">
        <v>0.01</v>
      </c>
      <c r="Z279" s="181">
        <v>0</v>
      </c>
    </row>
    <row r="280" spans="1:26" x14ac:dyDescent="0.4">
      <c r="A280" s="104" t="s">
        <v>260</v>
      </c>
      <c r="B280" s="169">
        <v>50</v>
      </c>
      <c r="C280" s="87">
        <v>12</v>
      </c>
      <c r="D280" s="87">
        <v>38</v>
      </c>
      <c r="E280" s="87">
        <v>0</v>
      </c>
      <c r="F280" s="87">
        <v>14</v>
      </c>
      <c r="G280" s="87">
        <v>8</v>
      </c>
      <c r="H280" s="87">
        <v>28</v>
      </c>
      <c r="I280" s="87">
        <v>9</v>
      </c>
      <c r="J280" s="87">
        <v>28</v>
      </c>
      <c r="K280" s="87">
        <v>13</v>
      </c>
      <c r="L280" s="87">
        <v>4</v>
      </c>
      <c r="M280" s="87">
        <v>31</v>
      </c>
      <c r="N280" s="87">
        <v>4</v>
      </c>
      <c r="O280" s="87">
        <v>11</v>
      </c>
      <c r="P280" s="87">
        <v>12</v>
      </c>
      <c r="Q280" s="87">
        <v>28</v>
      </c>
      <c r="R280" s="87">
        <v>9</v>
      </c>
      <c r="S280" s="87">
        <v>18</v>
      </c>
      <c r="T280" s="87">
        <v>6</v>
      </c>
      <c r="U280" s="87">
        <v>9</v>
      </c>
      <c r="V280" s="87">
        <v>16</v>
      </c>
      <c r="W280" s="102">
        <v>42</v>
      </c>
      <c r="X280" s="102">
        <v>7</v>
      </c>
      <c r="Y280" s="102">
        <v>24</v>
      </c>
      <c r="Z280" s="182">
        <v>26</v>
      </c>
    </row>
    <row r="281" spans="1:26" x14ac:dyDescent="0.4">
      <c r="B281" s="170">
        <v>0</v>
      </c>
      <c r="C281" s="171">
        <v>0</v>
      </c>
      <c r="D281" s="171">
        <v>0</v>
      </c>
      <c r="E281" s="87">
        <v>0</v>
      </c>
      <c r="F281" s="171">
        <v>0</v>
      </c>
      <c r="G281" s="171">
        <v>0</v>
      </c>
      <c r="H281" s="171">
        <v>0</v>
      </c>
      <c r="I281" s="171">
        <v>0</v>
      </c>
      <c r="J281" s="171">
        <v>0</v>
      </c>
      <c r="K281" s="171">
        <v>0</v>
      </c>
      <c r="L281" s="171">
        <v>0</v>
      </c>
      <c r="M281" s="171">
        <v>0</v>
      </c>
      <c r="N281" s="171">
        <v>0</v>
      </c>
      <c r="O281" s="171">
        <v>0</v>
      </c>
      <c r="P281" s="171">
        <v>0</v>
      </c>
      <c r="Q281" s="171">
        <v>0</v>
      </c>
      <c r="R281" s="171">
        <v>0</v>
      </c>
      <c r="S281" s="171">
        <v>0</v>
      </c>
      <c r="T281" s="171">
        <v>0</v>
      </c>
      <c r="U281" s="171">
        <v>0</v>
      </c>
      <c r="V281" s="171">
        <v>0</v>
      </c>
      <c r="W281" s="180">
        <v>0</v>
      </c>
      <c r="X281" s="180">
        <v>0</v>
      </c>
      <c r="Y281" s="180">
        <v>0</v>
      </c>
      <c r="Z281" s="181">
        <v>0</v>
      </c>
    </row>
    <row r="282" spans="1:26" x14ac:dyDescent="0.4">
      <c r="A282" s="104" t="s">
        <v>261</v>
      </c>
      <c r="B282" s="169">
        <v>83</v>
      </c>
      <c r="C282" s="87">
        <v>36</v>
      </c>
      <c r="D282" s="87">
        <v>47</v>
      </c>
      <c r="E282" s="87">
        <v>12</v>
      </c>
      <c r="F282" s="87">
        <v>10</v>
      </c>
      <c r="G282" s="87">
        <v>26</v>
      </c>
      <c r="H282" s="87">
        <v>34</v>
      </c>
      <c r="I282" s="87">
        <v>39</v>
      </c>
      <c r="J282" s="87">
        <v>31</v>
      </c>
      <c r="K282" s="87">
        <v>14</v>
      </c>
      <c r="L282" s="87">
        <v>7</v>
      </c>
      <c r="M282" s="87">
        <v>26</v>
      </c>
      <c r="N282" s="87">
        <v>21</v>
      </c>
      <c r="O282" s="87">
        <v>25</v>
      </c>
      <c r="P282" s="87">
        <v>17</v>
      </c>
      <c r="Q282" s="87">
        <v>39</v>
      </c>
      <c r="R282" s="87">
        <v>27</v>
      </c>
      <c r="S282" s="87">
        <v>25</v>
      </c>
      <c r="T282" s="87">
        <v>28</v>
      </c>
      <c r="U282" s="87">
        <v>11</v>
      </c>
      <c r="V282" s="87">
        <v>20</v>
      </c>
      <c r="W282" s="102">
        <v>55</v>
      </c>
      <c r="X282" s="102">
        <v>21</v>
      </c>
      <c r="Y282" s="102">
        <v>31</v>
      </c>
      <c r="Z282" s="182">
        <v>34</v>
      </c>
    </row>
    <row r="283" spans="1:26" x14ac:dyDescent="0.4">
      <c r="B283" s="170">
        <v>0</v>
      </c>
      <c r="C283" s="171">
        <v>0</v>
      </c>
      <c r="D283" s="171">
        <v>0</v>
      </c>
      <c r="E283" s="171">
        <v>0</v>
      </c>
      <c r="F283" s="171">
        <v>0</v>
      </c>
      <c r="G283" s="171">
        <v>0</v>
      </c>
      <c r="H283" s="171">
        <v>0</v>
      </c>
      <c r="I283" s="171">
        <v>0.01</v>
      </c>
      <c r="J283" s="171">
        <v>0</v>
      </c>
      <c r="K283" s="171">
        <v>0</v>
      </c>
      <c r="L283" s="171">
        <v>0</v>
      </c>
      <c r="M283" s="171">
        <v>0</v>
      </c>
      <c r="N283" s="171">
        <v>0.01</v>
      </c>
      <c r="O283" s="171">
        <v>0</v>
      </c>
      <c r="P283" s="171">
        <v>0</v>
      </c>
      <c r="Q283" s="171">
        <v>0</v>
      </c>
      <c r="R283" s="171">
        <v>0</v>
      </c>
      <c r="S283" s="171">
        <v>0</v>
      </c>
      <c r="T283" s="171">
        <v>0</v>
      </c>
      <c r="U283" s="171">
        <v>0</v>
      </c>
      <c r="V283" s="171">
        <v>0</v>
      </c>
      <c r="W283" s="180">
        <v>0</v>
      </c>
      <c r="X283" s="180">
        <v>0</v>
      </c>
      <c r="Y283" s="180">
        <v>0</v>
      </c>
      <c r="Z283" s="181">
        <v>0</v>
      </c>
    </row>
    <row r="284" spans="1:26" x14ac:dyDescent="0.4">
      <c r="A284" s="104" t="s">
        <v>262</v>
      </c>
      <c r="B284" s="169">
        <v>324</v>
      </c>
      <c r="C284" s="87">
        <v>161</v>
      </c>
      <c r="D284" s="87">
        <v>161</v>
      </c>
      <c r="E284" s="87">
        <v>28</v>
      </c>
      <c r="F284" s="87">
        <v>66</v>
      </c>
      <c r="G284" s="87">
        <v>85</v>
      </c>
      <c r="H284" s="87">
        <v>145</v>
      </c>
      <c r="I284" s="87">
        <v>89</v>
      </c>
      <c r="J284" s="87">
        <v>156</v>
      </c>
      <c r="K284" s="87">
        <v>79</v>
      </c>
      <c r="L284" s="87">
        <v>55</v>
      </c>
      <c r="M284" s="87">
        <v>130</v>
      </c>
      <c r="N284" s="87">
        <v>28</v>
      </c>
      <c r="O284" s="87">
        <v>107</v>
      </c>
      <c r="P284" s="87">
        <v>219</v>
      </c>
      <c r="Q284" s="87">
        <v>72</v>
      </c>
      <c r="R284" s="87">
        <v>33</v>
      </c>
      <c r="S284" s="87">
        <v>99</v>
      </c>
      <c r="T284" s="87">
        <v>71</v>
      </c>
      <c r="U284" s="87">
        <v>31</v>
      </c>
      <c r="V284" s="87">
        <v>123</v>
      </c>
      <c r="W284" s="102">
        <v>191</v>
      </c>
      <c r="X284" s="102">
        <v>119</v>
      </c>
      <c r="Y284" s="102">
        <v>155</v>
      </c>
      <c r="Z284" s="182">
        <v>149</v>
      </c>
    </row>
    <row r="285" spans="1:26" x14ac:dyDescent="0.4">
      <c r="B285" s="170">
        <v>0.01</v>
      </c>
      <c r="C285" s="171">
        <v>0.01</v>
      </c>
      <c r="D285" s="171">
        <v>0.01</v>
      </c>
      <c r="E285" s="171">
        <v>0.01</v>
      </c>
      <c r="F285" s="171">
        <v>0.01</v>
      </c>
      <c r="G285" s="171">
        <v>0.01</v>
      </c>
      <c r="H285" s="171">
        <v>0.02</v>
      </c>
      <c r="I285" s="171">
        <v>0.03</v>
      </c>
      <c r="J285" s="171">
        <v>0.02</v>
      </c>
      <c r="K285" s="171">
        <v>0.01</v>
      </c>
      <c r="L285" s="171">
        <v>0.02</v>
      </c>
      <c r="M285" s="171">
        <v>0.01</v>
      </c>
      <c r="N285" s="171">
        <v>0.01</v>
      </c>
      <c r="O285" s="171">
        <v>0.02</v>
      </c>
      <c r="P285" s="171">
        <v>0.02</v>
      </c>
      <c r="Q285" s="171">
        <v>0.01</v>
      </c>
      <c r="R285" s="171">
        <v>0.01</v>
      </c>
      <c r="S285" s="171">
        <v>0.02</v>
      </c>
      <c r="T285" s="171">
        <v>0.01</v>
      </c>
      <c r="U285" s="171">
        <v>0.01</v>
      </c>
      <c r="V285" s="171">
        <v>0.02</v>
      </c>
      <c r="W285" s="180">
        <v>0.01</v>
      </c>
      <c r="X285" s="180">
        <v>0.01</v>
      </c>
      <c r="Y285" s="180">
        <v>0.01</v>
      </c>
      <c r="Z285" s="181">
        <v>0.01</v>
      </c>
    </row>
    <row r="286" spans="1:26" x14ac:dyDescent="0.4">
      <c r="A286" s="104" t="s">
        <v>263</v>
      </c>
      <c r="B286" s="169">
        <v>93</v>
      </c>
      <c r="C286" s="87">
        <v>50</v>
      </c>
      <c r="D286" s="87">
        <v>38</v>
      </c>
      <c r="E286" s="87">
        <v>19</v>
      </c>
      <c r="F286" s="87">
        <v>34</v>
      </c>
      <c r="G286" s="87">
        <v>20</v>
      </c>
      <c r="H286" s="87">
        <v>20</v>
      </c>
      <c r="I286" s="87">
        <v>12</v>
      </c>
      <c r="J286" s="87">
        <v>16</v>
      </c>
      <c r="K286" s="87">
        <v>66</v>
      </c>
      <c r="L286" s="87">
        <v>24</v>
      </c>
      <c r="M286" s="87">
        <v>42</v>
      </c>
      <c r="N286" s="87">
        <v>10</v>
      </c>
      <c r="O286" s="87">
        <v>12</v>
      </c>
      <c r="P286" s="87">
        <v>66</v>
      </c>
      <c r="Q286" s="87">
        <v>12</v>
      </c>
      <c r="R286" s="87">
        <v>14</v>
      </c>
      <c r="S286" s="87">
        <v>22</v>
      </c>
      <c r="T286" s="87">
        <v>25</v>
      </c>
      <c r="U286" s="87">
        <v>14</v>
      </c>
      <c r="V286" s="87">
        <v>32</v>
      </c>
      <c r="W286" s="102">
        <v>69</v>
      </c>
      <c r="X286" s="102">
        <v>19</v>
      </c>
      <c r="Y286" s="102">
        <v>50</v>
      </c>
      <c r="Z286" s="182">
        <v>35</v>
      </c>
    </row>
    <row r="287" spans="1:26" x14ac:dyDescent="0.4">
      <c r="B287" s="170">
        <v>0</v>
      </c>
      <c r="C287" s="171">
        <v>0</v>
      </c>
      <c r="D287" s="171">
        <v>0</v>
      </c>
      <c r="E287" s="171">
        <v>0.01</v>
      </c>
      <c r="F287" s="171">
        <v>0</v>
      </c>
      <c r="G287" s="171">
        <v>0</v>
      </c>
      <c r="H287" s="171">
        <v>0</v>
      </c>
      <c r="I287" s="171">
        <v>0</v>
      </c>
      <c r="J287" s="171">
        <v>0</v>
      </c>
      <c r="K287" s="171">
        <v>0</v>
      </c>
      <c r="L287" s="171">
        <v>0.01</v>
      </c>
      <c r="M287" s="171">
        <v>0</v>
      </c>
      <c r="N287" s="171">
        <v>0</v>
      </c>
      <c r="O287" s="171">
        <v>0</v>
      </c>
      <c r="P287" s="171">
        <v>0.01</v>
      </c>
      <c r="Q287" s="171">
        <v>0</v>
      </c>
      <c r="R287" s="171">
        <v>0</v>
      </c>
      <c r="S287" s="171">
        <v>0</v>
      </c>
      <c r="T287" s="171">
        <v>0</v>
      </c>
      <c r="U287" s="171">
        <v>0</v>
      </c>
      <c r="V287" s="171">
        <v>0.01</v>
      </c>
      <c r="W287" s="180">
        <v>0</v>
      </c>
      <c r="X287" s="180">
        <v>0</v>
      </c>
      <c r="Y287" s="180">
        <v>0</v>
      </c>
      <c r="Z287" s="181">
        <v>0</v>
      </c>
    </row>
    <row r="288" spans="1:26" x14ac:dyDescent="0.4">
      <c r="A288" s="104" t="s">
        <v>264</v>
      </c>
      <c r="B288" s="169">
        <v>204</v>
      </c>
      <c r="C288" s="87">
        <v>104</v>
      </c>
      <c r="D288" s="87">
        <v>97</v>
      </c>
      <c r="E288" s="87">
        <v>39</v>
      </c>
      <c r="F288" s="87">
        <v>63</v>
      </c>
      <c r="G288" s="87">
        <v>57</v>
      </c>
      <c r="H288" s="87">
        <v>46</v>
      </c>
      <c r="I288" s="87">
        <v>26</v>
      </c>
      <c r="J288" s="87">
        <v>54</v>
      </c>
      <c r="K288" s="87">
        <v>124</v>
      </c>
      <c r="L288" s="87">
        <v>42</v>
      </c>
      <c r="M288" s="87">
        <v>100</v>
      </c>
      <c r="N288" s="87">
        <v>27</v>
      </c>
      <c r="O288" s="87">
        <v>34</v>
      </c>
      <c r="P288" s="87">
        <v>85</v>
      </c>
      <c r="Q288" s="87">
        <v>44</v>
      </c>
      <c r="R288" s="87">
        <v>70</v>
      </c>
      <c r="S288" s="87">
        <v>38</v>
      </c>
      <c r="T288" s="87">
        <v>80</v>
      </c>
      <c r="U288" s="87">
        <v>26</v>
      </c>
      <c r="V288" s="87">
        <v>60</v>
      </c>
      <c r="W288" s="102">
        <v>138</v>
      </c>
      <c r="X288" s="102">
        <v>56</v>
      </c>
      <c r="Y288" s="102">
        <v>110</v>
      </c>
      <c r="Z288" s="182">
        <v>80</v>
      </c>
    </row>
    <row r="289" spans="1:26" x14ac:dyDescent="0.4">
      <c r="B289" s="170">
        <v>0.01</v>
      </c>
      <c r="C289" s="171">
        <v>0.01</v>
      </c>
      <c r="D289" s="171">
        <v>0.01</v>
      </c>
      <c r="E289" s="171">
        <v>0.01</v>
      </c>
      <c r="F289" s="171">
        <v>0.01</v>
      </c>
      <c r="G289" s="171">
        <v>0.01</v>
      </c>
      <c r="H289" s="171">
        <v>0.01</v>
      </c>
      <c r="I289" s="171">
        <v>0.01</v>
      </c>
      <c r="J289" s="171">
        <v>0.01</v>
      </c>
      <c r="K289" s="171">
        <v>0.01</v>
      </c>
      <c r="L289" s="171">
        <v>0.01</v>
      </c>
      <c r="M289" s="171">
        <v>0.01</v>
      </c>
      <c r="N289" s="171">
        <v>0.01</v>
      </c>
      <c r="O289" s="171">
        <v>0</v>
      </c>
      <c r="P289" s="171">
        <v>0.01</v>
      </c>
      <c r="Q289" s="171">
        <v>0</v>
      </c>
      <c r="R289" s="171">
        <v>0.01</v>
      </c>
      <c r="S289" s="171">
        <v>0.01</v>
      </c>
      <c r="T289" s="171">
        <v>0.01</v>
      </c>
      <c r="U289" s="171">
        <v>0.01</v>
      </c>
      <c r="V289" s="171">
        <v>0.01</v>
      </c>
      <c r="W289" s="180">
        <v>0.01</v>
      </c>
      <c r="X289" s="180">
        <v>0.01</v>
      </c>
      <c r="Y289" s="180">
        <v>0.01</v>
      </c>
      <c r="Z289" s="181">
        <v>0.01</v>
      </c>
    </row>
    <row r="290" spans="1:26" x14ac:dyDescent="0.4">
      <c r="A290" s="104" t="s">
        <v>265</v>
      </c>
      <c r="B290" s="169">
        <v>58</v>
      </c>
      <c r="C290" s="87">
        <v>35</v>
      </c>
      <c r="D290" s="87">
        <v>22</v>
      </c>
      <c r="E290" s="87">
        <v>18</v>
      </c>
      <c r="F290" s="87">
        <v>22</v>
      </c>
      <c r="G290" s="87">
        <v>16</v>
      </c>
      <c r="H290" s="87">
        <v>2</v>
      </c>
      <c r="I290" s="87">
        <v>8</v>
      </c>
      <c r="J290" s="87">
        <v>6</v>
      </c>
      <c r="K290" s="87">
        <v>44</v>
      </c>
      <c r="L290" s="87">
        <v>7</v>
      </c>
      <c r="M290" s="87">
        <v>32</v>
      </c>
      <c r="N290" s="87">
        <v>4</v>
      </c>
      <c r="O290" s="87">
        <v>14</v>
      </c>
      <c r="P290" s="87">
        <v>18</v>
      </c>
      <c r="Q290" s="87">
        <v>27</v>
      </c>
      <c r="R290" s="87">
        <v>13</v>
      </c>
      <c r="S290" s="87">
        <v>7</v>
      </c>
      <c r="T290" s="87">
        <v>12</v>
      </c>
      <c r="U290" s="87">
        <v>11</v>
      </c>
      <c r="V290" s="87">
        <v>29</v>
      </c>
      <c r="W290" s="102">
        <v>31</v>
      </c>
      <c r="X290" s="102">
        <v>27</v>
      </c>
      <c r="Y290" s="102">
        <v>26</v>
      </c>
      <c r="Z290" s="182">
        <v>30</v>
      </c>
    </row>
    <row r="291" spans="1:26" x14ac:dyDescent="0.4">
      <c r="B291" s="170">
        <v>0</v>
      </c>
      <c r="C291" s="171">
        <v>0</v>
      </c>
      <c r="D291" s="171">
        <v>0</v>
      </c>
      <c r="E291" s="171">
        <v>0</v>
      </c>
      <c r="F291" s="171">
        <v>0</v>
      </c>
      <c r="G291" s="171">
        <v>0</v>
      </c>
      <c r="H291" s="171">
        <v>0</v>
      </c>
      <c r="I291" s="171">
        <v>0</v>
      </c>
      <c r="J291" s="171">
        <v>0</v>
      </c>
      <c r="K291" s="171">
        <v>0</v>
      </c>
      <c r="L291" s="171">
        <v>0</v>
      </c>
      <c r="M291" s="171">
        <v>0</v>
      </c>
      <c r="N291" s="171">
        <v>0</v>
      </c>
      <c r="O291" s="171">
        <v>0</v>
      </c>
      <c r="P291" s="171">
        <v>0</v>
      </c>
      <c r="Q291" s="171">
        <v>0</v>
      </c>
      <c r="R291" s="171">
        <v>0</v>
      </c>
      <c r="S291" s="171">
        <v>0</v>
      </c>
      <c r="T291" s="171">
        <v>0</v>
      </c>
      <c r="U291" s="171">
        <v>0</v>
      </c>
      <c r="V291" s="171">
        <v>0</v>
      </c>
      <c r="W291" s="180">
        <v>0</v>
      </c>
      <c r="X291" s="180">
        <v>0</v>
      </c>
      <c r="Y291" s="180">
        <v>0</v>
      </c>
      <c r="Z291" s="181">
        <v>0</v>
      </c>
    </row>
    <row r="292" spans="1:26" x14ac:dyDescent="0.4">
      <c r="A292" s="104" t="s">
        <v>266</v>
      </c>
      <c r="B292" s="169">
        <v>215</v>
      </c>
      <c r="C292" s="87">
        <v>94</v>
      </c>
      <c r="D292" s="87">
        <v>119</v>
      </c>
      <c r="E292" s="87">
        <v>25</v>
      </c>
      <c r="F292" s="87">
        <v>83</v>
      </c>
      <c r="G292" s="87">
        <v>74</v>
      </c>
      <c r="H292" s="87">
        <v>33</v>
      </c>
      <c r="I292" s="87">
        <v>18</v>
      </c>
      <c r="J292" s="87">
        <v>28</v>
      </c>
      <c r="K292" s="87">
        <v>169</v>
      </c>
      <c r="L292" s="87">
        <v>37</v>
      </c>
      <c r="M292" s="87">
        <v>99</v>
      </c>
      <c r="N292" s="87">
        <v>35</v>
      </c>
      <c r="O292" s="87">
        <v>34</v>
      </c>
      <c r="P292" s="87">
        <v>99</v>
      </c>
      <c r="Q292" s="87">
        <v>62</v>
      </c>
      <c r="R292" s="87">
        <v>48</v>
      </c>
      <c r="S292" s="87">
        <v>29</v>
      </c>
      <c r="T292" s="87">
        <v>74</v>
      </c>
      <c r="U292" s="87">
        <v>35</v>
      </c>
      <c r="V292" s="87">
        <v>77</v>
      </c>
      <c r="W292" s="102">
        <v>131</v>
      </c>
      <c r="X292" s="102">
        <v>68</v>
      </c>
      <c r="Y292" s="102">
        <v>101</v>
      </c>
      <c r="Z292" s="182">
        <v>93</v>
      </c>
    </row>
    <row r="293" spans="1:26" x14ac:dyDescent="0.4">
      <c r="B293" s="170">
        <v>0.01</v>
      </c>
      <c r="C293" s="171">
        <v>0.01</v>
      </c>
      <c r="D293" s="171">
        <v>0.01</v>
      </c>
      <c r="E293" s="171">
        <v>0.01</v>
      </c>
      <c r="F293" s="171">
        <v>0.01</v>
      </c>
      <c r="G293" s="171">
        <v>0.01</v>
      </c>
      <c r="H293" s="171">
        <v>0</v>
      </c>
      <c r="I293" s="171">
        <v>0.01</v>
      </c>
      <c r="J293" s="171">
        <v>0</v>
      </c>
      <c r="K293" s="171">
        <v>0.01</v>
      </c>
      <c r="L293" s="171">
        <v>0.01</v>
      </c>
      <c r="M293" s="171">
        <v>0.01</v>
      </c>
      <c r="N293" s="171">
        <v>0.01</v>
      </c>
      <c r="O293" s="171">
        <v>0</v>
      </c>
      <c r="P293" s="171">
        <v>0.01</v>
      </c>
      <c r="Q293" s="171">
        <v>0.01</v>
      </c>
      <c r="R293" s="171">
        <v>0.01</v>
      </c>
      <c r="S293" s="171">
        <v>0</v>
      </c>
      <c r="T293" s="171">
        <v>0.01</v>
      </c>
      <c r="U293" s="171">
        <v>0.01</v>
      </c>
      <c r="V293" s="171">
        <v>0.01</v>
      </c>
      <c r="W293" s="180">
        <v>0.01</v>
      </c>
      <c r="X293" s="180">
        <v>0.01</v>
      </c>
      <c r="Y293" s="180">
        <v>0.01</v>
      </c>
      <c r="Z293" s="181">
        <v>0.01</v>
      </c>
    </row>
    <row r="294" spans="1:26" x14ac:dyDescent="0.4">
      <c r="A294" s="104" t="s">
        <v>267</v>
      </c>
      <c r="B294" s="169">
        <v>45</v>
      </c>
      <c r="C294" s="87">
        <v>29</v>
      </c>
      <c r="D294" s="87">
        <v>15</v>
      </c>
      <c r="E294" s="87">
        <v>3</v>
      </c>
      <c r="F294" s="87">
        <v>18</v>
      </c>
      <c r="G294" s="87">
        <v>13</v>
      </c>
      <c r="H294" s="87">
        <v>10</v>
      </c>
      <c r="I294" s="87">
        <v>8</v>
      </c>
      <c r="J294" s="87">
        <v>7</v>
      </c>
      <c r="K294" s="87">
        <v>29</v>
      </c>
      <c r="L294" s="87">
        <v>6</v>
      </c>
      <c r="M294" s="87">
        <v>30</v>
      </c>
      <c r="N294" s="87">
        <v>3</v>
      </c>
      <c r="O294" s="87">
        <v>6</v>
      </c>
      <c r="P294" s="87">
        <v>16</v>
      </c>
      <c r="Q294" s="87">
        <v>21</v>
      </c>
      <c r="R294" s="87">
        <v>6</v>
      </c>
      <c r="S294" s="87">
        <v>6</v>
      </c>
      <c r="T294" s="87">
        <v>15</v>
      </c>
      <c r="U294" s="87">
        <v>11</v>
      </c>
      <c r="V294" s="87">
        <v>13</v>
      </c>
      <c r="W294" s="102">
        <v>25</v>
      </c>
      <c r="X294" s="102">
        <v>19</v>
      </c>
      <c r="Y294" s="102">
        <v>23</v>
      </c>
      <c r="Z294" s="182">
        <v>21</v>
      </c>
    </row>
    <row r="295" spans="1:26" x14ac:dyDescent="0.4">
      <c r="B295" s="170">
        <v>0</v>
      </c>
      <c r="C295" s="171">
        <v>0</v>
      </c>
      <c r="D295" s="171">
        <v>0</v>
      </c>
      <c r="E295" s="171">
        <v>0</v>
      </c>
      <c r="F295" s="171">
        <v>0</v>
      </c>
      <c r="G295" s="171">
        <v>0</v>
      </c>
      <c r="H295" s="171">
        <v>0</v>
      </c>
      <c r="I295" s="171">
        <v>0</v>
      </c>
      <c r="J295" s="171">
        <v>0</v>
      </c>
      <c r="K295" s="171">
        <v>0</v>
      </c>
      <c r="L295" s="171">
        <v>0</v>
      </c>
      <c r="M295" s="171">
        <v>0</v>
      </c>
      <c r="N295" s="171">
        <v>0</v>
      </c>
      <c r="O295" s="171">
        <v>0</v>
      </c>
      <c r="P295" s="171">
        <v>0</v>
      </c>
      <c r="Q295" s="171">
        <v>0</v>
      </c>
      <c r="R295" s="171">
        <v>0</v>
      </c>
      <c r="S295" s="171">
        <v>0</v>
      </c>
      <c r="T295" s="171">
        <v>0</v>
      </c>
      <c r="U295" s="171">
        <v>0</v>
      </c>
      <c r="V295" s="171">
        <v>0</v>
      </c>
      <c r="W295" s="180">
        <v>0</v>
      </c>
      <c r="X295" s="180">
        <v>0</v>
      </c>
      <c r="Y295" s="180">
        <v>0</v>
      </c>
      <c r="Z295" s="181">
        <v>0</v>
      </c>
    </row>
    <row r="296" spans="1:26" x14ac:dyDescent="0.4">
      <c r="A296" s="104" t="s">
        <v>268</v>
      </c>
      <c r="B296" s="169">
        <v>34</v>
      </c>
      <c r="C296" s="87">
        <v>16</v>
      </c>
      <c r="D296" s="87">
        <v>18</v>
      </c>
      <c r="E296" s="87">
        <v>9</v>
      </c>
      <c r="F296" s="87">
        <v>7</v>
      </c>
      <c r="G296" s="87">
        <v>7</v>
      </c>
      <c r="H296" s="87">
        <v>12</v>
      </c>
      <c r="I296" s="87">
        <v>8</v>
      </c>
      <c r="J296" s="87">
        <v>8</v>
      </c>
      <c r="K296" s="87">
        <v>18</v>
      </c>
      <c r="L296" s="87">
        <v>9</v>
      </c>
      <c r="M296" s="87">
        <v>16</v>
      </c>
      <c r="N296" s="87">
        <v>1</v>
      </c>
      <c r="O296" s="87">
        <v>7</v>
      </c>
      <c r="P296" s="87">
        <v>18</v>
      </c>
      <c r="Q296" s="87">
        <v>7</v>
      </c>
      <c r="R296" s="87">
        <v>10</v>
      </c>
      <c r="S296" s="87">
        <v>8</v>
      </c>
      <c r="T296" s="87">
        <v>11</v>
      </c>
      <c r="U296" s="87">
        <v>9</v>
      </c>
      <c r="V296" s="87">
        <v>7</v>
      </c>
      <c r="W296" s="102">
        <v>29</v>
      </c>
      <c r="X296" s="102">
        <v>5</v>
      </c>
      <c r="Y296" s="102">
        <v>21</v>
      </c>
      <c r="Z296" s="182">
        <v>11</v>
      </c>
    </row>
    <row r="297" spans="1:26" x14ac:dyDescent="0.4">
      <c r="B297" s="170">
        <v>0</v>
      </c>
      <c r="C297" s="171">
        <v>0</v>
      </c>
      <c r="D297" s="171">
        <v>0</v>
      </c>
      <c r="E297" s="171">
        <v>0</v>
      </c>
      <c r="F297" s="171">
        <v>0</v>
      </c>
      <c r="G297" s="171">
        <v>0</v>
      </c>
      <c r="H297" s="171">
        <v>0</v>
      </c>
      <c r="I297" s="171">
        <v>0</v>
      </c>
      <c r="J297" s="171">
        <v>0</v>
      </c>
      <c r="K297" s="171">
        <v>0</v>
      </c>
      <c r="L297" s="171">
        <v>0</v>
      </c>
      <c r="M297" s="171">
        <v>0</v>
      </c>
      <c r="N297" s="171">
        <v>0</v>
      </c>
      <c r="O297" s="171">
        <v>0</v>
      </c>
      <c r="P297" s="171">
        <v>0</v>
      </c>
      <c r="Q297" s="171">
        <v>0</v>
      </c>
      <c r="R297" s="171">
        <v>0</v>
      </c>
      <c r="S297" s="171">
        <v>0</v>
      </c>
      <c r="T297" s="171">
        <v>0</v>
      </c>
      <c r="U297" s="171">
        <v>0</v>
      </c>
      <c r="V297" s="171">
        <v>0</v>
      </c>
      <c r="W297" s="180">
        <v>0</v>
      </c>
      <c r="X297" s="180">
        <v>0</v>
      </c>
      <c r="Y297" s="180">
        <v>0</v>
      </c>
      <c r="Z297" s="181">
        <v>0</v>
      </c>
    </row>
    <row r="298" spans="1:26" x14ac:dyDescent="0.4">
      <c r="A298" s="104" t="s">
        <v>269</v>
      </c>
      <c r="B298" s="169">
        <v>39</v>
      </c>
      <c r="C298" s="87">
        <v>16</v>
      </c>
      <c r="D298" s="87">
        <v>23</v>
      </c>
      <c r="E298" s="87">
        <v>8</v>
      </c>
      <c r="F298" s="87">
        <v>9</v>
      </c>
      <c r="G298" s="87">
        <v>6</v>
      </c>
      <c r="H298" s="87">
        <v>16</v>
      </c>
      <c r="I298" s="87">
        <v>9</v>
      </c>
      <c r="J298" s="87">
        <v>13</v>
      </c>
      <c r="K298" s="87">
        <v>17</v>
      </c>
      <c r="L298" s="87">
        <v>5</v>
      </c>
      <c r="M298" s="87">
        <v>22</v>
      </c>
      <c r="N298" s="87">
        <v>1</v>
      </c>
      <c r="O298" s="87">
        <v>8</v>
      </c>
      <c r="P298" s="87">
        <v>10</v>
      </c>
      <c r="Q298" s="87">
        <v>19</v>
      </c>
      <c r="R298" s="87">
        <v>10</v>
      </c>
      <c r="S298" s="87">
        <v>10</v>
      </c>
      <c r="T298" s="87">
        <v>19</v>
      </c>
      <c r="U298" s="87">
        <v>5</v>
      </c>
      <c r="V298" s="87">
        <v>6</v>
      </c>
      <c r="W298" s="102">
        <v>33</v>
      </c>
      <c r="X298" s="102">
        <v>4</v>
      </c>
      <c r="Y298" s="102">
        <v>19</v>
      </c>
      <c r="Z298" s="182">
        <v>15</v>
      </c>
    </row>
    <row r="299" spans="1:26" x14ac:dyDescent="0.4">
      <c r="B299" s="170">
        <v>0</v>
      </c>
      <c r="C299" s="171">
        <v>0</v>
      </c>
      <c r="D299" s="171">
        <v>0</v>
      </c>
      <c r="E299" s="171">
        <v>0</v>
      </c>
      <c r="F299" s="171">
        <v>0</v>
      </c>
      <c r="G299" s="171">
        <v>0</v>
      </c>
      <c r="H299" s="171">
        <v>0</v>
      </c>
      <c r="I299" s="171">
        <v>0</v>
      </c>
      <c r="J299" s="171">
        <v>0</v>
      </c>
      <c r="K299" s="171">
        <v>0</v>
      </c>
      <c r="L299" s="171">
        <v>0</v>
      </c>
      <c r="M299" s="171">
        <v>0</v>
      </c>
      <c r="N299" s="171">
        <v>0</v>
      </c>
      <c r="O299" s="171">
        <v>0</v>
      </c>
      <c r="P299" s="171">
        <v>0</v>
      </c>
      <c r="Q299" s="171">
        <v>0</v>
      </c>
      <c r="R299" s="171">
        <v>0</v>
      </c>
      <c r="S299" s="171">
        <v>0</v>
      </c>
      <c r="T299" s="171">
        <v>0</v>
      </c>
      <c r="U299" s="171">
        <v>0</v>
      </c>
      <c r="V299" s="171">
        <v>0</v>
      </c>
      <c r="W299" s="180">
        <v>0</v>
      </c>
      <c r="X299" s="180">
        <v>0</v>
      </c>
      <c r="Y299" s="180">
        <v>0</v>
      </c>
      <c r="Z299" s="181">
        <v>0</v>
      </c>
    </row>
    <row r="300" spans="1:26" x14ac:dyDescent="0.4">
      <c r="A300" s="104" t="s">
        <v>270</v>
      </c>
      <c r="B300" s="169">
        <v>31</v>
      </c>
      <c r="C300" s="87">
        <v>13</v>
      </c>
      <c r="D300" s="87">
        <v>17</v>
      </c>
      <c r="E300" s="87">
        <v>5</v>
      </c>
      <c r="F300" s="87">
        <v>8</v>
      </c>
      <c r="G300" s="87">
        <v>6</v>
      </c>
      <c r="H300" s="87">
        <v>12</v>
      </c>
      <c r="I300" s="87">
        <v>5</v>
      </c>
      <c r="J300" s="87">
        <v>10</v>
      </c>
      <c r="K300" s="87">
        <v>15</v>
      </c>
      <c r="L300" s="87">
        <v>3</v>
      </c>
      <c r="M300" s="87">
        <v>17</v>
      </c>
      <c r="N300" s="87">
        <v>3</v>
      </c>
      <c r="O300" s="87">
        <v>7</v>
      </c>
      <c r="P300" s="87">
        <v>9</v>
      </c>
      <c r="Q300" s="87">
        <v>13</v>
      </c>
      <c r="R300" s="87">
        <v>9</v>
      </c>
      <c r="S300" s="87">
        <v>6</v>
      </c>
      <c r="T300" s="87">
        <v>11</v>
      </c>
      <c r="U300" s="87">
        <v>3</v>
      </c>
      <c r="V300" s="87">
        <v>11</v>
      </c>
      <c r="W300" s="102">
        <v>25</v>
      </c>
      <c r="X300" s="102">
        <v>5</v>
      </c>
      <c r="Y300" s="102">
        <v>16</v>
      </c>
      <c r="Z300" s="182">
        <v>15</v>
      </c>
    </row>
    <row r="301" spans="1:26" x14ac:dyDescent="0.4">
      <c r="B301" s="170">
        <v>0</v>
      </c>
      <c r="C301" s="171">
        <v>0</v>
      </c>
      <c r="D301" s="171">
        <v>0</v>
      </c>
      <c r="E301" s="171">
        <v>0</v>
      </c>
      <c r="F301" s="171">
        <v>0</v>
      </c>
      <c r="G301" s="171">
        <v>0</v>
      </c>
      <c r="H301" s="171">
        <v>0</v>
      </c>
      <c r="I301" s="171">
        <v>0</v>
      </c>
      <c r="J301" s="171">
        <v>0</v>
      </c>
      <c r="K301" s="171">
        <v>0</v>
      </c>
      <c r="L301" s="171">
        <v>0</v>
      </c>
      <c r="M301" s="171">
        <v>0</v>
      </c>
      <c r="N301" s="171">
        <v>0</v>
      </c>
      <c r="O301" s="171">
        <v>0</v>
      </c>
      <c r="P301" s="171">
        <v>0</v>
      </c>
      <c r="Q301" s="171">
        <v>0</v>
      </c>
      <c r="R301" s="171">
        <v>0</v>
      </c>
      <c r="S301" s="171">
        <v>0</v>
      </c>
      <c r="T301" s="171">
        <v>0</v>
      </c>
      <c r="U301" s="171">
        <v>0</v>
      </c>
      <c r="V301" s="171">
        <v>0</v>
      </c>
      <c r="W301" s="180">
        <v>0</v>
      </c>
      <c r="X301" s="180">
        <v>0</v>
      </c>
      <c r="Y301" s="180">
        <v>0</v>
      </c>
      <c r="Z301" s="181">
        <v>0</v>
      </c>
    </row>
    <row r="302" spans="1:26" x14ac:dyDescent="0.4">
      <c r="A302" s="104" t="s">
        <v>271</v>
      </c>
      <c r="B302" s="169">
        <v>76</v>
      </c>
      <c r="C302" s="87">
        <v>45</v>
      </c>
      <c r="D302" s="87">
        <v>30</v>
      </c>
      <c r="E302" s="87">
        <v>13</v>
      </c>
      <c r="F302" s="87">
        <v>16</v>
      </c>
      <c r="G302" s="87">
        <v>20</v>
      </c>
      <c r="H302" s="87">
        <v>27</v>
      </c>
      <c r="I302" s="87">
        <v>13</v>
      </c>
      <c r="J302" s="87">
        <v>26</v>
      </c>
      <c r="K302" s="87">
        <v>37</v>
      </c>
      <c r="L302" s="87">
        <v>6</v>
      </c>
      <c r="M302" s="87">
        <v>36</v>
      </c>
      <c r="N302" s="87">
        <v>2</v>
      </c>
      <c r="O302" s="87">
        <v>16</v>
      </c>
      <c r="P302" s="87">
        <v>34</v>
      </c>
      <c r="Q302" s="87">
        <v>30</v>
      </c>
      <c r="R302" s="87">
        <v>10</v>
      </c>
      <c r="S302" s="87">
        <v>20</v>
      </c>
      <c r="T302" s="87">
        <v>27</v>
      </c>
      <c r="U302" s="87">
        <v>9</v>
      </c>
      <c r="V302" s="87">
        <v>20</v>
      </c>
      <c r="W302" s="102">
        <v>57</v>
      </c>
      <c r="X302" s="102">
        <v>14</v>
      </c>
      <c r="Y302" s="102">
        <v>26</v>
      </c>
      <c r="Z302" s="182">
        <v>39</v>
      </c>
    </row>
    <row r="303" spans="1:26" x14ac:dyDescent="0.4">
      <c r="B303" s="170">
        <v>0</v>
      </c>
      <c r="C303" s="171">
        <v>0</v>
      </c>
      <c r="D303" s="171">
        <v>0</v>
      </c>
      <c r="E303" s="171">
        <v>0</v>
      </c>
      <c r="F303" s="171">
        <v>0</v>
      </c>
      <c r="G303" s="171">
        <v>0</v>
      </c>
      <c r="H303" s="171">
        <v>0</v>
      </c>
      <c r="I303" s="171">
        <v>0</v>
      </c>
      <c r="J303" s="171">
        <v>0</v>
      </c>
      <c r="K303" s="171">
        <v>0</v>
      </c>
      <c r="L303" s="171">
        <v>0</v>
      </c>
      <c r="M303" s="171">
        <v>0</v>
      </c>
      <c r="N303" s="171">
        <v>0</v>
      </c>
      <c r="O303" s="171">
        <v>0</v>
      </c>
      <c r="P303" s="171">
        <v>0</v>
      </c>
      <c r="Q303" s="171">
        <v>0</v>
      </c>
      <c r="R303" s="171">
        <v>0</v>
      </c>
      <c r="S303" s="171">
        <v>0</v>
      </c>
      <c r="T303" s="171">
        <v>0</v>
      </c>
      <c r="U303" s="171">
        <v>0</v>
      </c>
      <c r="V303" s="171">
        <v>0</v>
      </c>
      <c r="W303" s="180">
        <v>0</v>
      </c>
      <c r="X303" s="180">
        <v>0</v>
      </c>
      <c r="Y303" s="180">
        <v>0</v>
      </c>
      <c r="Z303" s="181">
        <v>0</v>
      </c>
    </row>
    <row r="304" spans="1:26" x14ac:dyDescent="0.4">
      <c r="A304" s="104" t="s">
        <v>272</v>
      </c>
      <c r="B304" s="169">
        <v>130</v>
      </c>
      <c r="C304" s="87">
        <v>62</v>
      </c>
      <c r="D304" s="87">
        <v>68</v>
      </c>
      <c r="E304" s="87">
        <v>16</v>
      </c>
      <c r="F304" s="87">
        <v>27</v>
      </c>
      <c r="G304" s="87">
        <v>32</v>
      </c>
      <c r="H304" s="87">
        <v>54</v>
      </c>
      <c r="I304" s="87">
        <v>35</v>
      </c>
      <c r="J304" s="87">
        <v>34</v>
      </c>
      <c r="K304" s="87">
        <v>61</v>
      </c>
      <c r="L304" s="87">
        <v>8</v>
      </c>
      <c r="M304" s="87">
        <v>69</v>
      </c>
      <c r="N304" s="87">
        <v>2</v>
      </c>
      <c r="O304" s="87">
        <v>44</v>
      </c>
      <c r="P304" s="87">
        <v>36</v>
      </c>
      <c r="Q304" s="87">
        <v>57</v>
      </c>
      <c r="R304" s="87">
        <v>36</v>
      </c>
      <c r="S304" s="87">
        <v>38</v>
      </c>
      <c r="T304" s="87">
        <v>62</v>
      </c>
      <c r="U304" s="87">
        <v>8</v>
      </c>
      <c r="V304" s="87">
        <v>23</v>
      </c>
      <c r="W304" s="102">
        <v>101</v>
      </c>
      <c r="X304" s="102">
        <v>24</v>
      </c>
      <c r="Y304" s="102">
        <v>59</v>
      </c>
      <c r="Z304" s="182">
        <v>67</v>
      </c>
    </row>
    <row r="305" spans="1:26" x14ac:dyDescent="0.4">
      <c r="B305" s="170">
        <v>0</v>
      </c>
      <c r="C305" s="171">
        <v>0</v>
      </c>
      <c r="D305" s="171">
        <v>0</v>
      </c>
      <c r="E305" s="171">
        <v>0</v>
      </c>
      <c r="F305" s="171">
        <v>0</v>
      </c>
      <c r="G305" s="171">
        <v>0</v>
      </c>
      <c r="H305" s="171">
        <v>0.01</v>
      </c>
      <c r="I305" s="171">
        <v>0.01</v>
      </c>
      <c r="J305" s="171">
        <v>0</v>
      </c>
      <c r="K305" s="171">
        <v>0</v>
      </c>
      <c r="L305" s="171">
        <v>0</v>
      </c>
      <c r="M305" s="171">
        <v>0</v>
      </c>
      <c r="N305" s="171">
        <v>0</v>
      </c>
      <c r="O305" s="171">
        <v>0.01</v>
      </c>
      <c r="P305" s="171">
        <v>0</v>
      </c>
      <c r="Q305" s="171">
        <v>0.01</v>
      </c>
      <c r="R305" s="171">
        <v>0.01</v>
      </c>
      <c r="S305" s="171">
        <v>0.01</v>
      </c>
      <c r="T305" s="171">
        <v>0.01</v>
      </c>
      <c r="U305" s="171">
        <v>0</v>
      </c>
      <c r="V305" s="171">
        <v>0</v>
      </c>
      <c r="W305" s="180">
        <v>0.01</v>
      </c>
      <c r="X305" s="180">
        <v>0</v>
      </c>
      <c r="Y305" s="180">
        <v>0.01</v>
      </c>
      <c r="Z305" s="181">
        <v>0</v>
      </c>
    </row>
    <row r="306" spans="1:26" x14ac:dyDescent="0.4">
      <c r="A306" s="104" t="s">
        <v>273</v>
      </c>
      <c r="B306" s="169">
        <v>26</v>
      </c>
      <c r="C306" s="87">
        <v>10</v>
      </c>
      <c r="D306" s="87">
        <v>15</v>
      </c>
      <c r="E306" s="87">
        <v>5</v>
      </c>
      <c r="F306" s="87">
        <v>5</v>
      </c>
      <c r="G306" s="87">
        <v>4</v>
      </c>
      <c r="H306" s="87">
        <v>12</v>
      </c>
      <c r="I306" s="87">
        <v>4</v>
      </c>
      <c r="J306" s="87">
        <v>9</v>
      </c>
      <c r="K306" s="87">
        <v>13</v>
      </c>
      <c r="L306" s="87">
        <v>3</v>
      </c>
      <c r="M306" s="87">
        <v>13</v>
      </c>
      <c r="N306" s="87">
        <v>2</v>
      </c>
      <c r="O306" s="87">
        <v>5</v>
      </c>
      <c r="P306" s="87">
        <v>13</v>
      </c>
      <c r="Q306" s="87">
        <v>12</v>
      </c>
      <c r="R306" s="87">
        <v>1</v>
      </c>
      <c r="S306" s="87">
        <v>4</v>
      </c>
      <c r="T306" s="87">
        <v>15</v>
      </c>
      <c r="U306" s="87">
        <v>2</v>
      </c>
      <c r="V306" s="87">
        <v>4</v>
      </c>
      <c r="W306" s="102">
        <v>22</v>
      </c>
      <c r="X306" s="102">
        <v>3</v>
      </c>
      <c r="Y306" s="102">
        <v>14</v>
      </c>
      <c r="Z306" s="182">
        <v>11</v>
      </c>
    </row>
    <row r="307" spans="1:26" x14ac:dyDescent="0.4">
      <c r="B307" s="170">
        <v>0</v>
      </c>
      <c r="C307" s="171">
        <v>0</v>
      </c>
      <c r="D307" s="171">
        <v>0</v>
      </c>
      <c r="E307" s="171">
        <v>0</v>
      </c>
      <c r="F307" s="171">
        <v>0</v>
      </c>
      <c r="G307" s="171">
        <v>0</v>
      </c>
      <c r="H307" s="171">
        <v>0</v>
      </c>
      <c r="I307" s="171">
        <v>0</v>
      </c>
      <c r="J307" s="171">
        <v>0</v>
      </c>
      <c r="K307" s="171">
        <v>0</v>
      </c>
      <c r="L307" s="171">
        <v>0</v>
      </c>
      <c r="M307" s="171">
        <v>0</v>
      </c>
      <c r="N307" s="171">
        <v>0</v>
      </c>
      <c r="O307" s="171">
        <v>0</v>
      </c>
      <c r="P307" s="171">
        <v>0</v>
      </c>
      <c r="Q307" s="171">
        <v>0</v>
      </c>
      <c r="R307" s="171">
        <v>0</v>
      </c>
      <c r="S307" s="171">
        <v>0</v>
      </c>
      <c r="T307" s="171">
        <v>0</v>
      </c>
      <c r="U307" s="171">
        <v>0</v>
      </c>
      <c r="V307" s="171">
        <v>0</v>
      </c>
      <c r="W307" s="180">
        <v>0</v>
      </c>
      <c r="X307" s="180">
        <v>0</v>
      </c>
      <c r="Y307" s="180">
        <v>0</v>
      </c>
      <c r="Z307" s="181">
        <v>0</v>
      </c>
    </row>
    <row r="308" spans="1:26" x14ac:dyDescent="0.4">
      <c r="A308" s="104" t="s">
        <v>274</v>
      </c>
      <c r="B308" s="169">
        <v>84</v>
      </c>
      <c r="C308" s="87">
        <v>36</v>
      </c>
      <c r="D308" s="87">
        <v>48</v>
      </c>
      <c r="E308" s="87">
        <v>10</v>
      </c>
      <c r="F308" s="87">
        <v>20</v>
      </c>
      <c r="G308" s="87">
        <v>14</v>
      </c>
      <c r="H308" s="87">
        <v>40</v>
      </c>
      <c r="I308" s="87">
        <v>19</v>
      </c>
      <c r="J308" s="87">
        <v>20</v>
      </c>
      <c r="K308" s="87">
        <v>44</v>
      </c>
      <c r="L308" s="87">
        <v>10</v>
      </c>
      <c r="M308" s="87">
        <v>38</v>
      </c>
      <c r="N308" s="87">
        <v>1</v>
      </c>
      <c r="O308" s="87">
        <v>28</v>
      </c>
      <c r="P308" s="87">
        <v>42</v>
      </c>
      <c r="Q308" s="87">
        <v>30</v>
      </c>
      <c r="R308" s="87">
        <v>11</v>
      </c>
      <c r="S308" s="87">
        <v>19</v>
      </c>
      <c r="T308" s="87">
        <v>49</v>
      </c>
      <c r="U308" s="87">
        <v>4</v>
      </c>
      <c r="V308" s="87">
        <v>12</v>
      </c>
      <c r="W308" s="102">
        <v>58</v>
      </c>
      <c r="X308" s="102">
        <v>24</v>
      </c>
      <c r="Y308" s="102">
        <v>33</v>
      </c>
      <c r="Z308" s="182">
        <v>46</v>
      </c>
    </row>
    <row r="309" spans="1:26" x14ac:dyDescent="0.4">
      <c r="B309" s="170">
        <v>0</v>
      </c>
      <c r="C309" s="171">
        <v>0</v>
      </c>
      <c r="D309" s="171">
        <v>0</v>
      </c>
      <c r="E309" s="171">
        <v>0</v>
      </c>
      <c r="F309" s="171">
        <v>0</v>
      </c>
      <c r="G309" s="171">
        <v>0</v>
      </c>
      <c r="H309" s="171">
        <v>0</v>
      </c>
      <c r="I309" s="171">
        <v>0.01</v>
      </c>
      <c r="J309" s="171">
        <v>0</v>
      </c>
      <c r="K309" s="171">
        <v>0</v>
      </c>
      <c r="L309" s="171">
        <v>0</v>
      </c>
      <c r="M309" s="171">
        <v>0</v>
      </c>
      <c r="N309" s="171">
        <v>0</v>
      </c>
      <c r="O309" s="171">
        <v>0</v>
      </c>
      <c r="P309" s="171">
        <v>0</v>
      </c>
      <c r="Q309" s="171">
        <v>0</v>
      </c>
      <c r="R309" s="171">
        <v>0</v>
      </c>
      <c r="S309" s="171">
        <v>0</v>
      </c>
      <c r="T309" s="171">
        <v>0</v>
      </c>
      <c r="U309" s="171">
        <v>0</v>
      </c>
      <c r="V309" s="171">
        <v>0</v>
      </c>
      <c r="W309" s="180">
        <v>0</v>
      </c>
      <c r="X309" s="180">
        <v>0</v>
      </c>
      <c r="Y309" s="180">
        <v>0</v>
      </c>
      <c r="Z309" s="181">
        <v>0</v>
      </c>
    </row>
    <row r="310" spans="1:26" x14ac:dyDescent="0.4">
      <c r="A310" s="104" t="s">
        <v>275</v>
      </c>
      <c r="B310" s="169">
        <v>177</v>
      </c>
      <c r="C310" s="87">
        <v>92</v>
      </c>
      <c r="D310" s="87">
        <v>84</v>
      </c>
      <c r="E310" s="87">
        <v>27</v>
      </c>
      <c r="F310" s="87">
        <v>47</v>
      </c>
      <c r="G310" s="87">
        <v>30</v>
      </c>
      <c r="H310" s="87">
        <v>73</v>
      </c>
      <c r="I310" s="87">
        <v>49</v>
      </c>
      <c r="J310" s="87">
        <v>51</v>
      </c>
      <c r="K310" s="87">
        <v>77</v>
      </c>
      <c r="L310" s="87">
        <v>13</v>
      </c>
      <c r="M310" s="87">
        <v>107</v>
      </c>
      <c r="N310" s="87">
        <v>4</v>
      </c>
      <c r="O310" s="87">
        <v>45</v>
      </c>
      <c r="P310" s="87">
        <v>117</v>
      </c>
      <c r="Q310" s="87">
        <v>44</v>
      </c>
      <c r="R310" s="87">
        <v>16</v>
      </c>
      <c r="S310" s="87">
        <v>52</v>
      </c>
      <c r="T310" s="87">
        <v>74</v>
      </c>
      <c r="U310" s="87">
        <v>23</v>
      </c>
      <c r="V310" s="87">
        <v>28</v>
      </c>
      <c r="W310" s="102">
        <v>134</v>
      </c>
      <c r="X310" s="102">
        <v>41</v>
      </c>
      <c r="Y310" s="102">
        <v>75</v>
      </c>
      <c r="Z310" s="182">
        <v>90</v>
      </c>
    </row>
    <row r="311" spans="1:26" x14ac:dyDescent="0.4">
      <c r="B311" s="170">
        <v>0.01</v>
      </c>
      <c r="C311" s="171">
        <v>0.01</v>
      </c>
      <c r="D311" s="171">
        <v>0.01</v>
      </c>
      <c r="E311" s="171">
        <v>0.01</v>
      </c>
      <c r="F311" s="171">
        <v>0.01</v>
      </c>
      <c r="G311" s="171">
        <v>0</v>
      </c>
      <c r="H311" s="171">
        <v>0.01</v>
      </c>
      <c r="I311" s="171">
        <v>0.01</v>
      </c>
      <c r="J311" s="171">
        <v>0.01</v>
      </c>
      <c r="K311" s="171">
        <v>0.01</v>
      </c>
      <c r="L311" s="171">
        <v>0</v>
      </c>
      <c r="M311" s="171">
        <v>0.01</v>
      </c>
      <c r="N311" s="171">
        <v>0</v>
      </c>
      <c r="O311" s="171">
        <v>0.01</v>
      </c>
      <c r="P311" s="171">
        <v>0.01</v>
      </c>
      <c r="Q311" s="171">
        <v>0</v>
      </c>
      <c r="R311" s="171">
        <v>0</v>
      </c>
      <c r="S311" s="171">
        <v>0.01</v>
      </c>
      <c r="T311" s="171">
        <v>0.01</v>
      </c>
      <c r="U311" s="171">
        <v>0.01</v>
      </c>
      <c r="V311" s="171">
        <v>0</v>
      </c>
      <c r="W311" s="180">
        <v>0.01</v>
      </c>
      <c r="X311" s="180">
        <v>0</v>
      </c>
      <c r="Y311" s="180">
        <v>0.01</v>
      </c>
      <c r="Z311" s="181">
        <v>0.01</v>
      </c>
    </row>
    <row r="312" spans="1:26" x14ac:dyDescent="0.4">
      <c r="A312" s="104" t="s">
        <v>276</v>
      </c>
      <c r="B312" s="169">
        <v>235</v>
      </c>
      <c r="C312" s="87">
        <v>117</v>
      </c>
      <c r="D312" s="87">
        <v>118</v>
      </c>
      <c r="E312" s="87">
        <v>33</v>
      </c>
      <c r="F312" s="87">
        <v>67</v>
      </c>
      <c r="G312" s="87">
        <v>53</v>
      </c>
      <c r="H312" s="87">
        <v>83</v>
      </c>
      <c r="I312" s="87">
        <v>48</v>
      </c>
      <c r="J312" s="87">
        <v>60</v>
      </c>
      <c r="K312" s="87">
        <v>126</v>
      </c>
      <c r="L312" s="87">
        <v>25</v>
      </c>
      <c r="M312" s="87">
        <v>150</v>
      </c>
      <c r="N312" s="87">
        <v>1</v>
      </c>
      <c r="O312" s="87">
        <v>50</v>
      </c>
      <c r="P312" s="87">
        <v>131</v>
      </c>
      <c r="Q312" s="87">
        <v>83</v>
      </c>
      <c r="R312" s="87">
        <v>20</v>
      </c>
      <c r="S312" s="87">
        <v>70</v>
      </c>
      <c r="T312" s="87">
        <v>101</v>
      </c>
      <c r="U312" s="87">
        <v>25</v>
      </c>
      <c r="V312" s="87">
        <v>39</v>
      </c>
      <c r="W312" s="102">
        <v>183</v>
      </c>
      <c r="X312" s="102">
        <v>43</v>
      </c>
      <c r="Y312" s="102">
        <v>93</v>
      </c>
      <c r="Z312" s="182">
        <v>124</v>
      </c>
    </row>
    <row r="313" spans="1:26" x14ac:dyDescent="0.4">
      <c r="B313" s="170">
        <v>0.01</v>
      </c>
      <c r="C313" s="171">
        <v>0.01</v>
      </c>
      <c r="D313" s="171">
        <v>0.01</v>
      </c>
      <c r="E313" s="171">
        <v>0.01</v>
      </c>
      <c r="F313" s="171">
        <v>0.01</v>
      </c>
      <c r="G313" s="171">
        <v>0.01</v>
      </c>
      <c r="H313" s="171">
        <v>0.01</v>
      </c>
      <c r="I313" s="171">
        <v>0.01</v>
      </c>
      <c r="J313" s="171">
        <v>0.01</v>
      </c>
      <c r="K313" s="171">
        <v>0.01</v>
      </c>
      <c r="L313" s="171">
        <v>0.01</v>
      </c>
      <c r="M313" s="171">
        <v>0.01</v>
      </c>
      <c r="N313" s="171">
        <v>0</v>
      </c>
      <c r="O313" s="171">
        <v>0.01</v>
      </c>
      <c r="P313" s="171">
        <v>0.01</v>
      </c>
      <c r="Q313" s="171">
        <v>0.01</v>
      </c>
      <c r="R313" s="171">
        <v>0</v>
      </c>
      <c r="S313" s="171">
        <v>0.01</v>
      </c>
      <c r="T313" s="171">
        <v>0.01</v>
      </c>
      <c r="U313" s="171">
        <v>0.01</v>
      </c>
      <c r="V313" s="171">
        <v>0.01</v>
      </c>
      <c r="W313" s="180">
        <v>0.01</v>
      </c>
      <c r="X313" s="180">
        <v>0.01</v>
      </c>
      <c r="Y313" s="180">
        <v>0.01</v>
      </c>
      <c r="Z313" s="181">
        <v>0.01</v>
      </c>
    </row>
    <row r="314" spans="1:26" x14ac:dyDescent="0.4">
      <c r="A314" s="104" t="s">
        <v>277</v>
      </c>
      <c r="B314" s="169">
        <v>28</v>
      </c>
      <c r="C314" s="87">
        <v>13</v>
      </c>
      <c r="D314" s="87">
        <v>15</v>
      </c>
      <c r="E314" s="87">
        <v>3</v>
      </c>
      <c r="F314" s="87">
        <v>5</v>
      </c>
      <c r="G314" s="87">
        <v>7</v>
      </c>
      <c r="H314" s="87">
        <v>13</v>
      </c>
      <c r="I314" s="87">
        <v>4</v>
      </c>
      <c r="J314" s="87">
        <v>8</v>
      </c>
      <c r="K314" s="87">
        <v>16</v>
      </c>
      <c r="L314" s="87">
        <v>4</v>
      </c>
      <c r="M314" s="87">
        <v>16</v>
      </c>
      <c r="N314" s="87">
        <v>1</v>
      </c>
      <c r="O314" s="87">
        <v>5</v>
      </c>
      <c r="P314" s="87">
        <v>4</v>
      </c>
      <c r="Q314" s="87">
        <v>13</v>
      </c>
      <c r="R314" s="87">
        <v>11</v>
      </c>
      <c r="S314" s="87">
        <v>10</v>
      </c>
      <c r="T314" s="87">
        <v>8</v>
      </c>
      <c r="U314" s="87">
        <v>5</v>
      </c>
      <c r="V314" s="87">
        <v>5</v>
      </c>
      <c r="W314" s="102">
        <v>20</v>
      </c>
      <c r="X314" s="102">
        <v>7</v>
      </c>
      <c r="Y314" s="102">
        <v>14</v>
      </c>
      <c r="Z314" s="182">
        <v>12</v>
      </c>
    </row>
    <row r="315" spans="1:26" x14ac:dyDescent="0.4">
      <c r="B315" s="170">
        <v>0</v>
      </c>
      <c r="C315" s="171">
        <v>0</v>
      </c>
      <c r="D315" s="171">
        <v>0</v>
      </c>
      <c r="E315" s="171">
        <v>0</v>
      </c>
      <c r="F315" s="171">
        <v>0</v>
      </c>
      <c r="G315" s="171">
        <v>0</v>
      </c>
      <c r="H315" s="171">
        <v>0</v>
      </c>
      <c r="I315" s="171">
        <v>0</v>
      </c>
      <c r="J315" s="171">
        <v>0</v>
      </c>
      <c r="K315" s="171">
        <v>0</v>
      </c>
      <c r="L315" s="171">
        <v>0</v>
      </c>
      <c r="M315" s="171">
        <v>0</v>
      </c>
      <c r="N315" s="171">
        <v>0</v>
      </c>
      <c r="O315" s="171">
        <v>0</v>
      </c>
      <c r="P315" s="171">
        <v>0</v>
      </c>
      <c r="Q315" s="171">
        <v>0</v>
      </c>
      <c r="R315" s="171">
        <v>0</v>
      </c>
      <c r="S315" s="171">
        <v>0</v>
      </c>
      <c r="T315" s="171">
        <v>0</v>
      </c>
      <c r="U315" s="171">
        <v>0</v>
      </c>
      <c r="V315" s="171">
        <v>0</v>
      </c>
      <c r="W315" s="180">
        <v>0</v>
      </c>
      <c r="X315" s="180">
        <v>0</v>
      </c>
      <c r="Y315" s="180">
        <v>0</v>
      </c>
      <c r="Z315" s="181">
        <v>0</v>
      </c>
    </row>
    <row r="316" spans="1:26" x14ac:dyDescent="0.4">
      <c r="A316" s="104" t="s">
        <v>278</v>
      </c>
      <c r="B316" s="169">
        <v>214</v>
      </c>
      <c r="C316" s="87">
        <v>116</v>
      </c>
      <c r="D316" s="87">
        <v>98</v>
      </c>
      <c r="E316" s="87">
        <v>19</v>
      </c>
      <c r="F316" s="87">
        <v>64</v>
      </c>
      <c r="G316" s="87">
        <v>36</v>
      </c>
      <c r="H316" s="87">
        <v>95</v>
      </c>
      <c r="I316" s="87">
        <v>50</v>
      </c>
      <c r="J316" s="87">
        <v>66</v>
      </c>
      <c r="K316" s="87">
        <v>98</v>
      </c>
      <c r="L316" s="87">
        <v>10</v>
      </c>
      <c r="M316" s="87">
        <v>119</v>
      </c>
      <c r="N316" s="87">
        <v>2</v>
      </c>
      <c r="O316" s="87">
        <v>80</v>
      </c>
      <c r="P316" s="87">
        <v>71</v>
      </c>
      <c r="Q316" s="87">
        <v>77</v>
      </c>
      <c r="R316" s="87">
        <v>66</v>
      </c>
      <c r="S316" s="87">
        <v>63</v>
      </c>
      <c r="T316" s="87">
        <v>103</v>
      </c>
      <c r="U316" s="87">
        <v>9</v>
      </c>
      <c r="V316" s="87">
        <v>39</v>
      </c>
      <c r="W316" s="102">
        <v>169</v>
      </c>
      <c r="X316" s="102">
        <v>36</v>
      </c>
      <c r="Y316" s="102">
        <v>98</v>
      </c>
      <c r="Z316" s="182">
        <v>109</v>
      </c>
    </row>
    <row r="317" spans="1:26" x14ac:dyDescent="0.4">
      <c r="B317" s="170">
        <v>0.01</v>
      </c>
      <c r="C317" s="171">
        <v>0.01</v>
      </c>
      <c r="D317" s="171">
        <v>0.01</v>
      </c>
      <c r="E317" s="171">
        <v>0.01</v>
      </c>
      <c r="F317" s="171">
        <v>0.01</v>
      </c>
      <c r="G317" s="171">
        <v>0</v>
      </c>
      <c r="H317" s="171">
        <v>0.01</v>
      </c>
      <c r="I317" s="171">
        <v>0.01</v>
      </c>
      <c r="J317" s="171">
        <v>0.01</v>
      </c>
      <c r="K317" s="171">
        <v>0.01</v>
      </c>
      <c r="L317" s="171">
        <v>0</v>
      </c>
      <c r="M317" s="171">
        <v>0.01</v>
      </c>
      <c r="N317" s="171">
        <v>0</v>
      </c>
      <c r="O317" s="171">
        <v>0.01</v>
      </c>
      <c r="P317" s="171">
        <v>0.01</v>
      </c>
      <c r="Q317" s="171">
        <v>0.01</v>
      </c>
      <c r="R317" s="171">
        <v>0.01</v>
      </c>
      <c r="S317" s="171">
        <v>0.01</v>
      </c>
      <c r="T317" s="171">
        <v>0.01</v>
      </c>
      <c r="U317" s="171">
        <v>0</v>
      </c>
      <c r="V317" s="171">
        <v>0.01</v>
      </c>
      <c r="W317" s="180">
        <v>0.01</v>
      </c>
      <c r="X317" s="180">
        <v>0</v>
      </c>
      <c r="Y317" s="180">
        <v>0.01</v>
      </c>
      <c r="Z317" s="181">
        <v>0.01</v>
      </c>
    </row>
    <row r="318" spans="1:26" x14ac:dyDescent="0.4">
      <c r="A318" s="104" t="s">
        <v>279</v>
      </c>
      <c r="B318" s="169">
        <v>418</v>
      </c>
      <c r="C318" s="87">
        <v>190</v>
      </c>
      <c r="D318" s="87">
        <v>228</v>
      </c>
      <c r="E318" s="87">
        <v>61</v>
      </c>
      <c r="F318" s="87">
        <v>102</v>
      </c>
      <c r="G318" s="87">
        <v>121</v>
      </c>
      <c r="H318" s="87">
        <v>134</v>
      </c>
      <c r="I318" s="87">
        <v>88</v>
      </c>
      <c r="J318" s="87">
        <v>157</v>
      </c>
      <c r="K318" s="87">
        <v>172</v>
      </c>
      <c r="L318" s="87">
        <v>26</v>
      </c>
      <c r="M318" s="87">
        <v>229</v>
      </c>
      <c r="N318" s="87">
        <v>54</v>
      </c>
      <c r="O318" s="87">
        <v>106</v>
      </c>
      <c r="P318" s="87">
        <v>228</v>
      </c>
      <c r="Q318" s="87">
        <v>95</v>
      </c>
      <c r="R318" s="87">
        <v>94</v>
      </c>
      <c r="S318" s="87">
        <v>91</v>
      </c>
      <c r="T318" s="87">
        <v>150</v>
      </c>
      <c r="U318" s="87">
        <v>59</v>
      </c>
      <c r="V318" s="87">
        <v>118</v>
      </c>
      <c r="W318" s="102">
        <v>290</v>
      </c>
      <c r="X318" s="102">
        <v>91</v>
      </c>
      <c r="Y318" s="102">
        <v>184</v>
      </c>
      <c r="Z318" s="182">
        <v>173</v>
      </c>
    </row>
    <row r="319" spans="1:26" x14ac:dyDescent="0.4">
      <c r="B319" s="170">
        <v>0.02</v>
      </c>
      <c r="C319" s="171">
        <v>0.01</v>
      </c>
      <c r="D319" s="171">
        <v>0.02</v>
      </c>
      <c r="E319" s="171">
        <v>0.02</v>
      </c>
      <c r="F319" s="171">
        <v>0.01</v>
      </c>
      <c r="G319" s="171">
        <v>0.02</v>
      </c>
      <c r="H319" s="171">
        <v>0.02</v>
      </c>
      <c r="I319" s="171">
        <v>0.03</v>
      </c>
      <c r="J319" s="171">
        <v>0.02</v>
      </c>
      <c r="K319" s="171">
        <v>0.01</v>
      </c>
      <c r="L319" s="171">
        <v>0.01</v>
      </c>
      <c r="M319" s="171">
        <v>0.02</v>
      </c>
      <c r="N319" s="171">
        <v>0.02</v>
      </c>
      <c r="O319" s="171">
        <v>0.02</v>
      </c>
      <c r="P319" s="171">
        <v>0.02</v>
      </c>
      <c r="Q319" s="171">
        <v>0.01</v>
      </c>
      <c r="R319" s="171">
        <v>0.01</v>
      </c>
      <c r="S319" s="171">
        <v>0.01</v>
      </c>
      <c r="T319" s="171">
        <v>0.01</v>
      </c>
      <c r="U319" s="171">
        <v>0.01</v>
      </c>
      <c r="V319" s="171">
        <v>0.02</v>
      </c>
      <c r="W319" s="180">
        <v>0.02</v>
      </c>
      <c r="X319" s="180">
        <v>0.01</v>
      </c>
      <c r="Y319" s="180">
        <v>0.02</v>
      </c>
      <c r="Z319" s="181">
        <v>0.01</v>
      </c>
    </row>
    <row r="320" spans="1:26" x14ac:dyDescent="0.4">
      <c r="A320" s="104" t="s">
        <v>280</v>
      </c>
      <c r="B320" s="169">
        <v>336</v>
      </c>
      <c r="C320" s="87">
        <v>163</v>
      </c>
      <c r="D320" s="87">
        <v>173</v>
      </c>
      <c r="E320" s="87">
        <v>27</v>
      </c>
      <c r="F320" s="87">
        <v>112</v>
      </c>
      <c r="G320" s="87">
        <v>67</v>
      </c>
      <c r="H320" s="87">
        <v>130</v>
      </c>
      <c r="I320" s="87">
        <v>70</v>
      </c>
      <c r="J320" s="87">
        <v>135</v>
      </c>
      <c r="K320" s="87">
        <v>131</v>
      </c>
      <c r="L320" s="87">
        <v>28</v>
      </c>
      <c r="M320" s="87">
        <v>141</v>
      </c>
      <c r="N320" s="87">
        <v>53</v>
      </c>
      <c r="O320" s="87">
        <v>109</v>
      </c>
      <c r="P320" s="87">
        <v>164</v>
      </c>
      <c r="Q320" s="87">
        <v>100</v>
      </c>
      <c r="R320" s="87">
        <v>72</v>
      </c>
      <c r="S320" s="87">
        <v>58</v>
      </c>
      <c r="T320" s="87">
        <v>164</v>
      </c>
      <c r="U320" s="87">
        <v>52</v>
      </c>
      <c r="V320" s="87">
        <v>61</v>
      </c>
      <c r="W320" s="102">
        <v>209</v>
      </c>
      <c r="X320" s="102">
        <v>101</v>
      </c>
      <c r="Y320" s="102">
        <v>177</v>
      </c>
      <c r="Z320" s="182">
        <v>146</v>
      </c>
    </row>
    <row r="321" spans="1:26" x14ac:dyDescent="0.4">
      <c r="B321" s="170">
        <v>0.01</v>
      </c>
      <c r="C321" s="171">
        <v>0.01</v>
      </c>
      <c r="D321" s="171">
        <v>0.01</v>
      </c>
      <c r="E321" s="171">
        <v>0.01</v>
      </c>
      <c r="F321" s="171">
        <v>0.01</v>
      </c>
      <c r="G321" s="171">
        <v>0.01</v>
      </c>
      <c r="H321" s="171">
        <v>0.02</v>
      </c>
      <c r="I321" s="171">
        <v>0.02</v>
      </c>
      <c r="J321" s="171">
        <v>0.02</v>
      </c>
      <c r="K321" s="171">
        <v>0.01</v>
      </c>
      <c r="L321" s="171">
        <v>0.01</v>
      </c>
      <c r="M321" s="171">
        <v>0.01</v>
      </c>
      <c r="N321" s="171">
        <v>0.02</v>
      </c>
      <c r="O321" s="171">
        <v>0.02</v>
      </c>
      <c r="P321" s="171">
        <v>0.02</v>
      </c>
      <c r="Q321" s="171">
        <v>0.01</v>
      </c>
      <c r="R321" s="171">
        <v>0.01</v>
      </c>
      <c r="S321" s="171">
        <v>0.01</v>
      </c>
      <c r="T321" s="171">
        <v>0.02</v>
      </c>
      <c r="U321" s="171">
        <v>0.01</v>
      </c>
      <c r="V321" s="171">
        <v>0.01</v>
      </c>
      <c r="W321" s="180">
        <v>0.01</v>
      </c>
      <c r="X321" s="180">
        <v>0.01</v>
      </c>
      <c r="Y321" s="180">
        <v>0.02</v>
      </c>
      <c r="Z321" s="181">
        <v>0.01</v>
      </c>
    </row>
    <row r="322" spans="1:26" x14ac:dyDescent="0.4">
      <c r="A322" s="104" t="s">
        <v>281</v>
      </c>
      <c r="B322" s="169">
        <v>218</v>
      </c>
      <c r="C322" s="87">
        <v>114</v>
      </c>
      <c r="D322" s="87">
        <v>104</v>
      </c>
      <c r="E322" s="87">
        <v>45</v>
      </c>
      <c r="F322" s="87">
        <v>65</v>
      </c>
      <c r="G322" s="87">
        <v>63</v>
      </c>
      <c r="H322" s="87">
        <v>45</v>
      </c>
      <c r="I322" s="87">
        <v>46</v>
      </c>
      <c r="J322" s="87">
        <v>80</v>
      </c>
      <c r="K322" s="87">
        <v>92</v>
      </c>
      <c r="L322" s="87">
        <v>23</v>
      </c>
      <c r="M322" s="87">
        <v>105</v>
      </c>
      <c r="N322" s="87">
        <v>32</v>
      </c>
      <c r="O322" s="87">
        <v>54</v>
      </c>
      <c r="P322" s="87">
        <v>83</v>
      </c>
      <c r="Q322" s="87">
        <v>77</v>
      </c>
      <c r="R322" s="87">
        <v>58</v>
      </c>
      <c r="S322" s="87">
        <v>39</v>
      </c>
      <c r="T322" s="87">
        <v>84</v>
      </c>
      <c r="U322" s="87">
        <v>36</v>
      </c>
      <c r="V322" s="87">
        <v>58</v>
      </c>
      <c r="W322" s="102">
        <v>152</v>
      </c>
      <c r="X322" s="102">
        <v>54</v>
      </c>
      <c r="Y322" s="102">
        <v>95</v>
      </c>
      <c r="Z322" s="182">
        <v>107</v>
      </c>
    </row>
    <row r="323" spans="1:26" x14ac:dyDescent="0.4">
      <c r="B323" s="170">
        <v>0.01</v>
      </c>
      <c r="C323" s="171">
        <v>0.01</v>
      </c>
      <c r="D323" s="171">
        <v>0.01</v>
      </c>
      <c r="E323" s="171">
        <v>0.01</v>
      </c>
      <c r="F323" s="171">
        <v>0.01</v>
      </c>
      <c r="G323" s="171">
        <v>0.01</v>
      </c>
      <c r="H323" s="171">
        <v>0.01</v>
      </c>
      <c r="I323" s="171">
        <v>0.01</v>
      </c>
      <c r="J323" s="171">
        <v>0.01</v>
      </c>
      <c r="K323" s="171">
        <v>0.01</v>
      </c>
      <c r="L323" s="171">
        <v>0.01</v>
      </c>
      <c r="M323" s="171">
        <v>0.01</v>
      </c>
      <c r="N323" s="171">
        <v>0.01</v>
      </c>
      <c r="O323" s="171">
        <v>0.01</v>
      </c>
      <c r="P323" s="171">
        <v>0.01</v>
      </c>
      <c r="Q323" s="171">
        <v>0.01</v>
      </c>
      <c r="R323" s="171">
        <v>0.01</v>
      </c>
      <c r="S323" s="171">
        <v>0.01</v>
      </c>
      <c r="T323" s="171">
        <v>0.01</v>
      </c>
      <c r="U323" s="171">
        <v>0.01</v>
      </c>
      <c r="V323" s="171">
        <v>0.01</v>
      </c>
      <c r="W323" s="180">
        <v>0.01</v>
      </c>
      <c r="X323" s="180">
        <v>0.01</v>
      </c>
      <c r="Y323" s="180">
        <v>0.01</v>
      </c>
      <c r="Z323" s="181">
        <v>0.01</v>
      </c>
    </row>
    <row r="324" spans="1:26" x14ac:dyDescent="0.4">
      <c r="A324" s="104" t="s">
        <v>282</v>
      </c>
      <c r="B324" s="169">
        <v>315</v>
      </c>
      <c r="C324" s="87">
        <v>154</v>
      </c>
      <c r="D324" s="87">
        <v>160</v>
      </c>
      <c r="E324" s="87">
        <v>64</v>
      </c>
      <c r="F324" s="87">
        <v>89</v>
      </c>
      <c r="G324" s="87">
        <v>73</v>
      </c>
      <c r="H324" s="87">
        <v>89</v>
      </c>
      <c r="I324" s="87">
        <v>56</v>
      </c>
      <c r="J324" s="87">
        <v>128</v>
      </c>
      <c r="K324" s="87">
        <v>131</v>
      </c>
      <c r="L324" s="87">
        <v>30</v>
      </c>
      <c r="M324" s="87">
        <v>154</v>
      </c>
      <c r="N324" s="87">
        <v>39</v>
      </c>
      <c r="O324" s="87">
        <v>80</v>
      </c>
      <c r="P324" s="87">
        <v>137</v>
      </c>
      <c r="Q324" s="87">
        <v>103</v>
      </c>
      <c r="R324" s="87">
        <v>75</v>
      </c>
      <c r="S324" s="87">
        <v>70</v>
      </c>
      <c r="T324" s="87">
        <v>118</v>
      </c>
      <c r="U324" s="87">
        <v>42</v>
      </c>
      <c r="V324" s="87">
        <v>85</v>
      </c>
      <c r="W324" s="102">
        <v>198</v>
      </c>
      <c r="X324" s="102">
        <v>91</v>
      </c>
      <c r="Y324" s="102">
        <v>139</v>
      </c>
      <c r="Z324" s="182">
        <v>147</v>
      </c>
    </row>
    <row r="325" spans="1:26" x14ac:dyDescent="0.4">
      <c r="B325" s="170">
        <v>0.01</v>
      </c>
      <c r="C325" s="171">
        <v>0.01</v>
      </c>
      <c r="D325" s="171">
        <v>0.01</v>
      </c>
      <c r="E325" s="171">
        <v>0.02</v>
      </c>
      <c r="F325" s="171">
        <v>0.01</v>
      </c>
      <c r="G325" s="171">
        <v>0.01</v>
      </c>
      <c r="H325" s="171">
        <v>0.01</v>
      </c>
      <c r="I325" s="171">
        <v>0.02</v>
      </c>
      <c r="J325" s="171">
        <v>0.01</v>
      </c>
      <c r="K325" s="171">
        <v>0.01</v>
      </c>
      <c r="L325" s="171">
        <v>0.01</v>
      </c>
      <c r="M325" s="171">
        <v>0.01</v>
      </c>
      <c r="N325" s="171">
        <v>0.01</v>
      </c>
      <c r="O325" s="171">
        <v>0.01</v>
      </c>
      <c r="P325" s="171">
        <v>0.01</v>
      </c>
      <c r="Q325" s="171">
        <v>0.01</v>
      </c>
      <c r="R325" s="171">
        <v>0.01</v>
      </c>
      <c r="S325" s="171">
        <v>0.01</v>
      </c>
      <c r="T325" s="171">
        <v>0.01</v>
      </c>
      <c r="U325" s="171">
        <v>0.01</v>
      </c>
      <c r="V325" s="171">
        <v>0.01</v>
      </c>
      <c r="W325" s="180">
        <v>0.01</v>
      </c>
      <c r="X325" s="180">
        <v>0.01</v>
      </c>
      <c r="Y325" s="180">
        <v>0.01</v>
      </c>
      <c r="Z325" s="181">
        <v>0.01</v>
      </c>
    </row>
    <row r="326" spans="1:26" x14ac:dyDescent="0.4">
      <c r="A326" s="104" t="s">
        <v>283</v>
      </c>
      <c r="B326" s="169">
        <v>195</v>
      </c>
      <c r="C326" s="87">
        <v>95</v>
      </c>
      <c r="D326" s="87">
        <v>99</v>
      </c>
      <c r="E326" s="87">
        <v>48</v>
      </c>
      <c r="F326" s="87">
        <v>51</v>
      </c>
      <c r="G326" s="87">
        <v>36</v>
      </c>
      <c r="H326" s="87">
        <v>59</v>
      </c>
      <c r="I326" s="87">
        <v>25</v>
      </c>
      <c r="J326" s="87">
        <v>65</v>
      </c>
      <c r="K326" s="87">
        <v>105</v>
      </c>
      <c r="L326" s="87">
        <v>18</v>
      </c>
      <c r="M326" s="87">
        <v>99</v>
      </c>
      <c r="N326" s="87">
        <v>22</v>
      </c>
      <c r="O326" s="87">
        <v>56</v>
      </c>
      <c r="P326" s="87">
        <v>104</v>
      </c>
      <c r="Q326" s="87">
        <v>62</v>
      </c>
      <c r="R326" s="87">
        <v>29</v>
      </c>
      <c r="S326" s="87">
        <v>49</v>
      </c>
      <c r="T326" s="87">
        <v>70</v>
      </c>
      <c r="U326" s="87">
        <v>23</v>
      </c>
      <c r="V326" s="87">
        <v>53</v>
      </c>
      <c r="W326" s="102">
        <v>133</v>
      </c>
      <c r="X326" s="102">
        <v>49</v>
      </c>
      <c r="Y326" s="102">
        <v>83</v>
      </c>
      <c r="Z326" s="182">
        <v>95</v>
      </c>
    </row>
    <row r="327" spans="1:26" x14ac:dyDescent="0.4">
      <c r="B327" s="170">
        <v>0.01</v>
      </c>
      <c r="C327" s="171">
        <v>0.01</v>
      </c>
      <c r="D327" s="171">
        <v>0.01</v>
      </c>
      <c r="E327" s="171">
        <v>0.01</v>
      </c>
      <c r="F327" s="171">
        <v>0.01</v>
      </c>
      <c r="G327" s="171">
        <v>0</v>
      </c>
      <c r="H327" s="171">
        <v>0.01</v>
      </c>
      <c r="I327" s="171">
        <v>0.01</v>
      </c>
      <c r="J327" s="171">
        <v>0.01</v>
      </c>
      <c r="K327" s="171">
        <v>0.01</v>
      </c>
      <c r="L327" s="171">
        <v>0.01</v>
      </c>
      <c r="M327" s="171">
        <v>0.01</v>
      </c>
      <c r="N327" s="171">
        <v>0.01</v>
      </c>
      <c r="O327" s="171">
        <v>0.01</v>
      </c>
      <c r="P327" s="171">
        <v>0.01</v>
      </c>
      <c r="Q327" s="171">
        <v>0.01</v>
      </c>
      <c r="R327" s="171">
        <v>0</v>
      </c>
      <c r="S327" s="171">
        <v>0.01</v>
      </c>
      <c r="T327" s="171">
        <v>0.01</v>
      </c>
      <c r="U327" s="171">
        <v>0.01</v>
      </c>
      <c r="V327" s="171">
        <v>0.01</v>
      </c>
      <c r="W327" s="180">
        <v>0.01</v>
      </c>
      <c r="X327" s="180">
        <v>0.01</v>
      </c>
      <c r="Y327" s="180">
        <v>0.01</v>
      </c>
      <c r="Z327" s="181">
        <v>0.01</v>
      </c>
    </row>
    <row r="328" spans="1:26" x14ac:dyDescent="0.4">
      <c r="A328" s="104" t="s">
        <v>284</v>
      </c>
      <c r="B328" s="169">
        <v>280</v>
      </c>
      <c r="C328" s="87">
        <v>138</v>
      </c>
      <c r="D328" s="87">
        <v>141</v>
      </c>
      <c r="E328" s="87">
        <v>53</v>
      </c>
      <c r="F328" s="87">
        <v>68</v>
      </c>
      <c r="G328" s="87">
        <v>60</v>
      </c>
      <c r="H328" s="87">
        <v>99</v>
      </c>
      <c r="I328" s="87">
        <v>72</v>
      </c>
      <c r="J328" s="87">
        <v>99</v>
      </c>
      <c r="K328" s="87">
        <v>109</v>
      </c>
      <c r="L328" s="87">
        <v>23</v>
      </c>
      <c r="M328" s="87">
        <v>135</v>
      </c>
      <c r="N328" s="87">
        <v>34</v>
      </c>
      <c r="O328" s="87">
        <v>87</v>
      </c>
      <c r="P328" s="87">
        <v>60</v>
      </c>
      <c r="Q328" s="87">
        <v>104</v>
      </c>
      <c r="R328" s="87">
        <v>116</v>
      </c>
      <c r="S328" s="87">
        <v>58</v>
      </c>
      <c r="T328" s="87">
        <v>75</v>
      </c>
      <c r="U328" s="87">
        <v>85</v>
      </c>
      <c r="V328" s="87">
        <v>62</v>
      </c>
      <c r="W328" s="102">
        <v>179</v>
      </c>
      <c r="X328" s="102">
        <v>79</v>
      </c>
      <c r="Y328" s="102">
        <v>130</v>
      </c>
      <c r="Z328" s="182">
        <v>127</v>
      </c>
    </row>
    <row r="329" spans="1:26" x14ac:dyDescent="0.4">
      <c r="B329" s="170">
        <v>0.01</v>
      </c>
      <c r="C329" s="171">
        <v>0.01</v>
      </c>
      <c r="D329" s="171">
        <v>0.01</v>
      </c>
      <c r="E329" s="171">
        <v>0.01</v>
      </c>
      <c r="F329" s="171">
        <v>0.01</v>
      </c>
      <c r="G329" s="171">
        <v>0.01</v>
      </c>
      <c r="H329" s="171">
        <v>0.01</v>
      </c>
      <c r="I329" s="171">
        <v>0.02</v>
      </c>
      <c r="J329" s="171">
        <v>0.01</v>
      </c>
      <c r="K329" s="171">
        <v>0.01</v>
      </c>
      <c r="L329" s="171">
        <v>0.01</v>
      </c>
      <c r="M329" s="171">
        <v>0.01</v>
      </c>
      <c r="N329" s="171">
        <v>0.01</v>
      </c>
      <c r="O329" s="171">
        <v>0.01</v>
      </c>
      <c r="P329" s="171">
        <v>0.01</v>
      </c>
      <c r="Q329" s="171">
        <v>0.01</v>
      </c>
      <c r="R329" s="171">
        <v>0.02</v>
      </c>
      <c r="S329" s="171">
        <v>0.01</v>
      </c>
      <c r="T329" s="171">
        <v>0.01</v>
      </c>
      <c r="U329" s="171">
        <v>0.02</v>
      </c>
      <c r="V329" s="171">
        <v>0.01</v>
      </c>
      <c r="W329" s="180">
        <v>0.01</v>
      </c>
      <c r="X329" s="180">
        <v>0.01</v>
      </c>
      <c r="Y329" s="180">
        <v>0.01</v>
      </c>
      <c r="Z329" s="181">
        <v>0.01</v>
      </c>
    </row>
    <row r="330" spans="1:26" x14ac:dyDescent="0.4">
      <c r="A330" s="104" t="s">
        <v>285</v>
      </c>
      <c r="B330" s="169">
        <v>296</v>
      </c>
      <c r="C330" s="87">
        <v>171</v>
      </c>
      <c r="D330" s="87">
        <v>124</v>
      </c>
      <c r="E330" s="87">
        <v>47</v>
      </c>
      <c r="F330" s="87">
        <v>88</v>
      </c>
      <c r="G330" s="87">
        <v>81</v>
      </c>
      <c r="H330" s="87">
        <v>80</v>
      </c>
      <c r="I330" s="87">
        <v>61</v>
      </c>
      <c r="J330" s="87">
        <v>104</v>
      </c>
      <c r="K330" s="87">
        <v>130</v>
      </c>
      <c r="L330" s="87">
        <v>35</v>
      </c>
      <c r="M330" s="87">
        <v>176</v>
      </c>
      <c r="N330" s="87">
        <v>20</v>
      </c>
      <c r="O330" s="87">
        <v>58</v>
      </c>
      <c r="P330" s="87">
        <v>137</v>
      </c>
      <c r="Q330" s="87">
        <v>85</v>
      </c>
      <c r="R330" s="87">
        <v>73</v>
      </c>
      <c r="S330" s="87">
        <v>67</v>
      </c>
      <c r="T330" s="87">
        <v>121</v>
      </c>
      <c r="U330" s="87">
        <v>52</v>
      </c>
      <c r="V330" s="87">
        <v>55</v>
      </c>
      <c r="W330" s="102">
        <v>201</v>
      </c>
      <c r="X330" s="102">
        <v>77</v>
      </c>
      <c r="Y330" s="102">
        <v>103</v>
      </c>
      <c r="Z330" s="182">
        <v>159</v>
      </c>
    </row>
    <row r="331" spans="1:26" x14ac:dyDescent="0.4">
      <c r="B331" s="170">
        <v>0.01</v>
      </c>
      <c r="C331" s="171">
        <v>0.01</v>
      </c>
      <c r="D331" s="171">
        <v>0.01</v>
      </c>
      <c r="E331" s="171">
        <v>0.01</v>
      </c>
      <c r="F331" s="171">
        <v>0.01</v>
      </c>
      <c r="G331" s="171">
        <v>0.01</v>
      </c>
      <c r="H331" s="171">
        <v>0.01</v>
      </c>
      <c r="I331" s="171">
        <v>0.02</v>
      </c>
      <c r="J331" s="171">
        <v>0.01</v>
      </c>
      <c r="K331" s="171">
        <v>0.01</v>
      </c>
      <c r="L331" s="171">
        <v>0.01</v>
      </c>
      <c r="M331" s="171">
        <v>0.01</v>
      </c>
      <c r="N331" s="171">
        <v>0.01</v>
      </c>
      <c r="O331" s="171">
        <v>0.01</v>
      </c>
      <c r="P331" s="171">
        <v>0.01</v>
      </c>
      <c r="Q331" s="171">
        <v>0.01</v>
      </c>
      <c r="R331" s="171">
        <v>0.01</v>
      </c>
      <c r="S331" s="171">
        <v>0.01</v>
      </c>
      <c r="T331" s="171">
        <v>0.01</v>
      </c>
      <c r="U331" s="171">
        <v>0.01</v>
      </c>
      <c r="V331" s="171">
        <v>0.01</v>
      </c>
      <c r="W331" s="180">
        <v>0.01</v>
      </c>
      <c r="X331" s="180">
        <v>0.01</v>
      </c>
      <c r="Y331" s="180">
        <v>0.01</v>
      </c>
      <c r="Z331" s="181">
        <v>0.01</v>
      </c>
    </row>
    <row r="332" spans="1:26" x14ac:dyDescent="0.4">
      <c r="A332" s="104" t="s">
        <v>286</v>
      </c>
      <c r="B332" s="169">
        <v>216</v>
      </c>
      <c r="C332" s="87">
        <v>109</v>
      </c>
      <c r="D332" s="87">
        <v>106</v>
      </c>
      <c r="E332" s="87">
        <v>28</v>
      </c>
      <c r="F332" s="87">
        <v>65</v>
      </c>
      <c r="G332" s="87">
        <v>59</v>
      </c>
      <c r="H332" s="87">
        <v>63</v>
      </c>
      <c r="I332" s="87">
        <v>41</v>
      </c>
      <c r="J332" s="87">
        <v>48</v>
      </c>
      <c r="K332" s="87">
        <v>127</v>
      </c>
      <c r="L332" s="87">
        <v>29</v>
      </c>
      <c r="M332" s="87">
        <v>145</v>
      </c>
      <c r="N332" s="87">
        <v>1</v>
      </c>
      <c r="O332" s="87">
        <v>37</v>
      </c>
      <c r="P332" s="87">
        <v>81</v>
      </c>
      <c r="Q332" s="87">
        <v>84</v>
      </c>
      <c r="R332" s="87">
        <v>49</v>
      </c>
      <c r="S332" s="87">
        <v>37</v>
      </c>
      <c r="T332" s="87">
        <v>71</v>
      </c>
      <c r="U332" s="87">
        <v>43</v>
      </c>
      <c r="V332" s="87">
        <v>65</v>
      </c>
      <c r="W332" s="102">
        <v>131</v>
      </c>
      <c r="X332" s="102">
        <v>75</v>
      </c>
      <c r="Y332" s="102">
        <v>89</v>
      </c>
      <c r="Z332" s="182">
        <v>117</v>
      </c>
    </row>
    <row r="333" spans="1:26" x14ac:dyDescent="0.4">
      <c r="B333" s="170">
        <v>0.01</v>
      </c>
      <c r="C333" s="171">
        <v>0.01</v>
      </c>
      <c r="D333" s="171">
        <v>0.01</v>
      </c>
      <c r="E333" s="171">
        <v>0.01</v>
      </c>
      <c r="F333" s="171">
        <v>0.01</v>
      </c>
      <c r="G333" s="171">
        <v>0.01</v>
      </c>
      <c r="H333" s="171">
        <v>0.01</v>
      </c>
      <c r="I333" s="171">
        <v>0.01</v>
      </c>
      <c r="J333" s="171">
        <v>0.01</v>
      </c>
      <c r="K333" s="171">
        <v>0.01</v>
      </c>
      <c r="L333" s="171">
        <v>0.01</v>
      </c>
      <c r="M333" s="171">
        <v>0.01</v>
      </c>
      <c r="N333" s="171">
        <v>0</v>
      </c>
      <c r="O333" s="171">
        <v>0.01</v>
      </c>
      <c r="P333" s="171">
        <v>0.01</v>
      </c>
      <c r="Q333" s="171">
        <v>0.01</v>
      </c>
      <c r="R333" s="171">
        <v>0.01</v>
      </c>
      <c r="S333" s="171">
        <v>0.01</v>
      </c>
      <c r="T333" s="171">
        <v>0.01</v>
      </c>
      <c r="U333" s="171">
        <v>0.01</v>
      </c>
      <c r="V333" s="171">
        <v>0.01</v>
      </c>
      <c r="W333" s="180">
        <v>0.01</v>
      </c>
      <c r="X333" s="180">
        <v>0.01</v>
      </c>
      <c r="Y333" s="180">
        <v>0.01</v>
      </c>
      <c r="Z333" s="181">
        <v>0.01</v>
      </c>
    </row>
    <row r="334" spans="1:26" x14ac:dyDescent="0.4">
      <c r="A334" s="104" t="s">
        <v>287</v>
      </c>
      <c r="B334" s="169">
        <v>30</v>
      </c>
      <c r="C334" s="87">
        <v>16</v>
      </c>
      <c r="D334" s="87">
        <v>14</v>
      </c>
      <c r="E334" s="87">
        <v>5</v>
      </c>
      <c r="F334" s="87">
        <v>8</v>
      </c>
      <c r="G334" s="87">
        <v>10</v>
      </c>
      <c r="H334" s="87">
        <v>6</v>
      </c>
      <c r="I334" s="87">
        <v>8</v>
      </c>
      <c r="J334" s="87">
        <v>11</v>
      </c>
      <c r="K334" s="87">
        <v>11</v>
      </c>
      <c r="L334" s="87">
        <v>5</v>
      </c>
      <c r="M334" s="87">
        <v>20</v>
      </c>
      <c r="N334" s="87">
        <v>0</v>
      </c>
      <c r="O334" s="87">
        <v>5</v>
      </c>
      <c r="P334" s="87">
        <v>8</v>
      </c>
      <c r="Q334" s="87">
        <v>17</v>
      </c>
      <c r="R334" s="87">
        <v>5</v>
      </c>
      <c r="S334" s="87">
        <v>6</v>
      </c>
      <c r="T334" s="87">
        <v>10</v>
      </c>
      <c r="U334" s="87">
        <v>6</v>
      </c>
      <c r="V334" s="87">
        <v>7</v>
      </c>
      <c r="W334" s="102">
        <v>22</v>
      </c>
      <c r="X334" s="102">
        <v>7</v>
      </c>
      <c r="Y334" s="102">
        <v>13</v>
      </c>
      <c r="Z334" s="182">
        <v>16</v>
      </c>
    </row>
    <row r="335" spans="1:26" x14ac:dyDescent="0.4">
      <c r="B335" s="170">
        <v>0</v>
      </c>
      <c r="C335" s="171">
        <v>0</v>
      </c>
      <c r="D335" s="171">
        <v>0</v>
      </c>
      <c r="E335" s="171">
        <v>0</v>
      </c>
      <c r="F335" s="171">
        <v>0</v>
      </c>
      <c r="G335" s="171">
        <v>0</v>
      </c>
      <c r="H335" s="171">
        <v>0</v>
      </c>
      <c r="I335" s="171">
        <v>0</v>
      </c>
      <c r="J335" s="171">
        <v>0</v>
      </c>
      <c r="K335" s="171">
        <v>0</v>
      </c>
      <c r="L335" s="171">
        <v>0</v>
      </c>
      <c r="M335" s="171">
        <v>0</v>
      </c>
      <c r="N335" s="171">
        <v>0</v>
      </c>
      <c r="O335" s="171">
        <v>0</v>
      </c>
      <c r="P335" s="171">
        <v>0</v>
      </c>
      <c r="Q335" s="171">
        <v>0</v>
      </c>
      <c r="R335" s="171">
        <v>0</v>
      </c>
      <c r="S335" s="171">
        <v>0</v>
      </c>
      <c r="T335" s="171">
        <v>0</v>
      </c>
      <c r="U335" s="171">
        <v>0</v>
      </c>
      <c r="V335" s="171">
        <v>0</v>
      </c>
      <c r="W335" s="180">
        <v>0</v>
      </c>
      <c r="X335" s="180">
        <v>0</v>
      </c>
      <c r="Y335" s="180">
        <v>0</v>
      </c>
      <c r="Z335" s="181">
        <v>0</v>
      </c>
    </row>
    <row r="336" spans="1:26" x14ac:dyDescent="0.4">
      <c r="A336" s="104" t="s">
        <v>288</v>
      </c>
      <c r="B336" s="169">
        <v>152</v>
      </c>
      <c r="C336" s="87">
        <v>78</v>
      </c>
      <c r="D336" s="87">
        <v>73</v>
      </c>
      <c r="E336" s="87">
        <v>22</v>
      </c>
      <c r="F336" s="87">
        <v>35</v>
      </c>
      <c r="G336" s="87">
        <v>52</v>
      </c>
      <c r="H336" s="87">
        <v>43</v>
      </c>
      <c r="I336" s="87">
        <v>28</v>
      </c>
      <c r="J336" s="87">
        <v>53</v>
      </c>
      <c r="K336" s="87">
        <v>71</v>
      </c>
      <c r="L336" s="87">
        <v>19</v>
      </c>
      <c r="M336" s="87">
        <v>92</v>
      </c>
      <c r="N336" s="87">
        <v>2</v>
      </c>
      <c r="O336" s="87">
        <v>38</v>
      </c>
      <c r="P336" s="87">
        <v>26</v>
      </c>
      <c r="Q336" s="87">
        <v>63</v>
      </c>
      <c r="R336" s="87">
        <v>64</v>
      </c>
      <c r="S336" s="87">
        <v>23</v>
      </c>
      <c r="T336" s="87">
        <v>56</v>
      </c>
      <c r="U336" s="87">
        <v>34</v>
      </c>
      <c r="V336" s="87">
        <v>38</v>
      </c>
      <c r="W336" s="102">
        <v>110</v>
      </c>
      <c r="X336" s="102">
        <v>37</v>
      </c>
      <c r="Y336" s="102">
        <v>67</v>
      </c>
      <c r="Z336" s="182">
        <v>78</v>
      </c>
    </row>
    <row r="337" spans="1:26" x14ac:dyDescent="0.4">
      <c r="B337" s="170">
        <v>0.01</v>
      </c>
      <c r="C337" s="171">
        <v>0.01</v>
      </c>
      <c r="D337" s="171">
        <v>0.01</v>
      </c>
      <c r="E337" s="171">
        <v>0.01</v>
      </c>
      <c r="F337" s="171">
        <v>0</v>
      </c>
      <c r="G337" s="171">
        <v>0.01</v>
      </c>
      <c r="H337" s="171">
        <v>0.01</v>
      </c>
      <c r="I337" s="171">
        <v>0.01</v>
      </c>
      <c r="J337" s="171">
        <v>0.01</v>
      </c>
      <c r="K337" s="171">
        <v>0</v>
      </c>
      <c r="L337" s="171">
        <v>0.01</v>
      </c>
      <c r="M337" s="171">
        <v>0.01</v>
      </c>
      <c r="N337" s="171">
        <v>0</v>
      </c>
      <c r="O337" s="171">
        <v>0.01</v>
      </c>
      <c r="P337" s="171">
        <v>0</v>
      </c>
      <c r="Q337" s="171">
        <v>0.01</v>
      </c>
      <c r="R337" s="171">
        <v>0.01</v>
      </c>
      <c r="S337" s="171">
        <v>0</v>
      </c>
      <c r="T337" s="171">
        <v>0.01</v>
      </c>
      <c r="U337" s="171">
        <v>0.01</v>
      </c>
      <c r="V337" s="171">
        <v>0.01</v>
      </c>
      <c r="W337" s="180">
        <v>0.01</v>
      </c>
      <c r="X337" s="180">
        <v>0</v>
      </c>
      <c r="Y337" s="180">
        <v>0.01</v>
      </c>
      <c r="Z337" s="181">
        <v>0.01</v>
      </c>
    </row>
    <row r="338" spans="1:26" x14ac:dyDescent="0.4">
      <c r="A338" s="104" t="s">
        <v>289</v>
      </c>
      <c r="B338" s="169">
        <v>184</v>
      </c>
      <c r="C338" s="87">
        <v>79</v>
      </c>
      <c r="D338" s="87">
        <v>105</v>
      </c>
      <c r="E338" s="87">
        <v>29</v>
      </c>
      <c r="F338" s="87">
        <v>30</v>
      </c>
      <c r="G338" s="87">
        <v>49</v>
      </c>
      <c r="H338" s="87">
        <v>76</v>
      </c>
      <c r="I338" s="87">
        <v>27</v>
      </c>
      <c r="J338" s="87">
        <v>55</v>
      </c>
      <c r="K338" s="87">
        <v>102</v>
      </c>
      <c r="L338" s="87">
        <v>33</v>
      </c>
      <c r="M338" s="87">
        <v>111</v>
      </c>
      <c r="N338" s="87">
        <v>2</v>
      </c>
      <c r="O338" s="87">
        <v>35</v>
      </c>
      <c r="P338" s="87">
        <v>95</v>
      </c>
      <c r="Q338" s="87">
        <v>65</v>
      </c>
      <c r="R338" s="87">
        <v>23</v>
      </c>
      <c r="S338" s="87">
        <v>36</v>
      </c>
      <c r="T338" s="87">
        <v>64</v>
      </c>
      <c r="U338" s="87">
        <v>41</v>
      </c>
      <c r="V338" s="87">
        <v>43</v>
      </c>
      <c r="W338" s="102">
        <v>124</v>
      </c>
      <c r="X338" s="102">
        <v>54</v>
      </c>
      <c r="Y338" s="102">
        <v>80</v>
      </c>
      <c r="Z338" s="182">
        <v>92</v>
      </c>
    </row>
    <row r="339" spans="1:26" x14ac:dyDescent="0.4">
      <c r="B339" s="170">
        <v>0.01</v>
      </c>
      <c r="C339" s="171">
        <v>0.01</v>
      </c>
      <c r="D339" s="171">
        <v>0.01</v>
      </c>
      <c r="E339" s="171">
        <v>0.01</v>
      </c>
      <c r="F339" s="171">
        <v>0</v>
      </c>
      <c r="G339" s="171">
        <v>0.01</v>
      </c>
      <c r="H339" s="171">
        <v>0.01</v>
      </c>
      <c r="I339" s="171">
        <v>0.01</v>
      </c>
      <c r="J339" s="171">
        <v>0.01</v>
      </c>
      <c r="K339" s="171">
        <v>0.01</v>
      </c>
      <c r="L339" s="171">
        <v>0.01</v>
      </c>
      <c r="M339" s="171">
        <v>0.01</v>
      </c>
      <c r="N339" s="171">
        <v>0</v>
      </c>
      <c r="O339" s="171">
        <v>0.01</v>
      </c>
      <c r="P339" s="171">
        <v>0.01</v>
      </c>
      <c r="Q339" s="171">
        <v>0.01</v>
      </c>
      <c r="R339" s="171">
        <v>0</v>
      </c>
      <c r="S339" s="171">
        <v>0.01</v>
      </c>
      <c r="T339" s="171">
        <v>0.01</v>
      </c>
      <c r="U339" s="171">
        <v>0.01</v>
      </c>
      <c r="V339" s="171">
        <v>0.01</v>
      </c>
      <c r="W339" s="180">
        <v>0.01</v>
      </c>
      <c r="X339" s="180">
        <v>0.01</v>
      </c>
      <c r="Y339" s="180">
        <v>0.01</v>
      </c>
      <c r="Z339" s="181">
        <v>0.01</v>
      </c>
    </row>
    <row r="340" spans="1:26" x14ac:dyDescent="0.4">
      <c r="A340" s="104" t="s">
        <v>290</v>
      </c>
      <c r="B340" s="169">
        <v>44</v>
      </c>
      <c r="C340" s="87">
        <v>16</v>
      </c>
      <c r="D340" s="87">
        <v>28</v>
      </c>
      <c r="E340" s="87">
        <v>7</v>
      </c>
      <c r="F340" s="87">
        <v>4</v>
      </c>
      <c r="G340" s="87">
        <v>14</v>
      </c>
      <c r="H340" s="87">
        <v>20</v>
      </c>
      <c r="I340" s="87">
        <v>8</v>
      </c>
      <c r="J340" s="87">
        <v>21</v>
      </c>
      <c r="K340" s="87">
        <v>16</v>
      </c>
      <c r="L340" s="87">
        <v>7</v>
      </c>
      <c r="M340" s="87">
        <v>22</v>
      </c>
      <c r="N340" s="87">
        <v>0</v>
      </c>
      <c r="O340" s="87">
        <v>15</v>
      </c>
      <c r="P340" s="87">
        <v>5</v>
      </c>
      <c r="Q340" s="87">
        <v>16</v>
      </c>
      <c r="R340" s="87">
        <v>24</v>
      </c>
      <c r="S340" s="87">
        <v>12</v>
      </c>
      <c r="T340" s="87">
        <v>17</v>
      </c>
      <c r="U340" s="87">
        <v>8</v>
      </c>
      <c r="V340" s="87">
        <v>7</v>
      </c>
      <c r="W340" s="102">
        <v>31</v>
      </c>
      <c r="X340" s="102">
        <v>14</v>
      </c>
      <c r="Y340" s="102">
        <v>23</v>
      </c>
      <c r="Z340" s="182">
        <v>22</v>
      </c>
    </row>
    <row r="341" spans="1:26" x14ac:dyDescent="0.4">
      <c r="B341" s="170">
        <v>0</v>
      </c>
      <c r="C341" s="171">
        <v>0</v>
      </c>
      <c r="D341" s="171">
        <v>0</v>
      </c>
      <c r="E341" s="171">
        <v>0</v>
      </c>
      <c r="F341" s="171">
        <v>0</v>
      </c>
      <c r="G341" s="171">
        <v>0</v>
      </c>
      <c r="H341" s="171">
        <v>0</v>
      </c>
      <c r="I341" s="171">
        <v>0</v>
      </c>
      <c r="J341" s="171">
        <v>0</v>
      </c>
      <c r="K341" s="171">
        <v>0</v>
      </c>
      <c r="L341" s="171">
        <v>0</v>
      </c>
      <c r="M341" s="171">
        <v>0</v>
      </c>
      <c r="N341" s="87">
        <v>0</v>
      </c>
      <c r="O341" s="171">
        <v>0</v>
      </c>
      <c r="P341" s="171">
        <v>0</v>
      </c>
      <c r="Q341" s="171">
        <v>0</v>
      </c>
      <c r="R341" s="171">
        <v>0</v>
      </c>
      <c r="S341" s="171">
        <v>0</v>
      </c>
      <c r="T341" s="171">
        <v>0</v>
      </c>
      <c r="U341" s="171">
        <v>0</v>
      </c>
      <c r="V341" s="171">
        <v>0</v>
      </c>
      <c r="W341" s="180">
        <v>0</v>
      </c>
      <c r="X341" s="180">
        <v>0</v>
      </c>
      <c r="Y341" s="180">
        <v>0</v>
      </c>
      <c r="Z341" s="181">
        <v>0</v>
      </c>
    </row>
    <row r="342" spans="1:26" x14ac:dyDescent="0.4">
      <c r="A342" s="104" t="s">
        <v>291</v>
      </c>
      <c r="B342" s="169">
        <v>18</v>
      </c>
      <c r="C342" s="87">
        <v>10</v>
      </c>
      <c r="D342" s="87">
        <v>8</v>
      </c>
      <c r="E342" s="87">
        <v>4</v>
      </c>
      <c r="F342" s="87">
        <v>4</v>
      </c>
      <c r="G342" s="87">
        <v>6</v>
      </c>
      <c r="H342" s="87">
        <v>4</v>
      </c>
      <c r="I342" s="87">
        <v>4</v>
      </c>
      <c r="J342" s="87">
        <v>7</v>
      </c>
      <c r="K342" s="87">
        <v>7</v>
      </c>
      <c r="L342" s="87">
        <v>3</v>
      </c>
      <c r="M342" s="87">
        <v>11</v>
      </c>
      <c r="N342" s="87">
        <v>1</v>
      </c>
      <c r="O342" s="87">
        <v>3</v>
      </c>
      <c r="P342" s="87">
        <v>2</v>
      </c>
      <c r="Q342" s="87">
        <v>10</v>
      </c>
      <c r="R342" s="87">
        <v>7</v>
      </c>
      <c r="S342" s="87">
        <v>2</v>
      </c>
      <c r="T342" s="87">
        <v>4</v>
      </c>
      <c r="U342" s="87">
        <v>3</v>
      </c>
      <c r="V342" s="87">
        <v>9</v>
      </c>
      <c r="W342" s="102">
        <v>9</v>
      </c>
      <c r="X342" s="102">
        <v>8</v>
      </c>
      <c r="Y342" s="102">
        <v>8</v>
      </c>
      <c r="Z342" s="182">
        <v>10</v>
      </c>
    </row>
    <row r="343" spans="1:26" x14ac:dyDescent="0.4">
      <c r="B343" s="170">
        <v>0</v>
      </c>
      <c r="C343" s="171">
        <v>0</v>
      </c>
      <c r="D343" s="171">
        <v>0</v>
      </c>
      <c r="E343" s="171">
        <v>0</v>
      </c>
      <c r="F343" s="171">
        <v>0</v>
      </c>
      <c r="G343" s="171">
        <v>0</v>
      </c>
      <c r="H343" s="171">
        <v>0</v>
      </c>
      <c r="I343" s="171">
        <v>0</v>
      </c>
      <c r="J343" s="171">
        <v>0</v>
      </c>
      <c r="K343" s="171">
        <v>0</v>
      </c>
      <c r="L343" s="171">
        <v>0</v>
      </c>
      <c r="M343" s="171">
        <v>0</v>
      </c>
      <c r="N343" s="171">
        <v>0</v>
      </c>
      <c r="O343" s="171">
        <v>0</v>
      </c>
      <c r="P343" s="171">
        <v>0</v>
      </c>
      <c r="Q343" s="171">
        <v>0</v>
      </c>
      <c r="R343" s="171">
        <v>0</v>
      </c>
      <c r="S343" s="171">
        <v>0</v>
      </c>
      <c r="T343" s="171">
        <v>0</v>
      </c>
      <c r="U343" s="171">
        <v>0</v>
      </c>
      <c r="V343" s="171">
        <v>0</v>
      </c>
      <c r="W343" s="180">
        <v>0</v>
      </c>
      <c r="X343" s="180">
        <v>0</v>
      </c>
      <c r="Y343" s="180">
        <v>0</v>
      </c>
      <c r="Z343" s="181">
        <v>0</v>
      </c>
    </row>
    <row r="344" spans="1:26" x14ac:dyDescent="0.4">
      <c r="A344" s="104" t="s">
        <v>292</v>
      </c>
      <c r="B344" s="169">
        <v>18</v>
      </c>
      <c r="C344" s="87">
        <v>7</v>
      </c>
      <c r="D344" s="87">
        <v>11</v>
      </c>
      <c r="E344" s="87">
        <v>5</v>
      </c>
      <c r="F344" s="87">
        <v>4</v>
      </c>
      <c r="G344" s="87">
        <v>6</v>
      </c>
      <c r="H344" s="87">
        <v>3</v>
      </c>
      <c r="I344" s="87">
        <v>2</v>
      </c>
      <c r="J344" s="87">
        <v>6</v>
      </c>
      <c r="K344" s="87">
        <v>10</v>
      </c>
      <c r="L344" s="87">
        <v>4</v>
      </c>
      <c r="M344" s="87">
        <v>11</v>
      </c>
      <c r="N344" s="87">
        <v>1</v>
      </c>
      <c r="O344" s="87">
        <v>2</v>
      </c>
      <c r="P344" s="87">
        <v>3</v>
      </c>
      <c r="Q344" s="87">
        <v>11</v>
      </c>
      <c r="R344" s="87">
        <v>4</v>
      </c>
      <c r="S344" s="87">
        <v>2</v>
      </c>
      <c r="T344" s="87">
        <v>3</v>
      </c>
      <c r="U344" s="87">
        <v>6</v>
      </c>
      <c r="V344" s="87">
        <v>6</v>
      </c>
      <c r="W344" s="102">
        <v>11</v>
      </c>
      <c r="X344" s="102">
        <v>6</v>
      </c>
      <c r="Y344" s="102">
        <v>7</v>
      </c>
      <c r="Z344" s="182">
        <v>11</v>
      </c>
    </row>
    <row r="345" spans="1:26" x14ac:dyDescent="0.4">
      <c r="B345" s="170">
        <v>0</v>
      </c>
      <c r="C345" s="171">
        <v>0</v>
      </c>
      <c r="D345" s="171">
        <v>0</v>
      </c>
      <c r="E345" s="171">
        <v>0</v>
      </c>
      <c r="F345" s="171">
        <v>0</v>
      </c>
      <c r="G345" s="171">
        <v>0</v>
      </c>
      <c r="H345" s="171">
        <v>0</v>
      </c>
      <c r="I345" s="171">
        <v>0</v>
      </c>
      <c r="J345" s="171">
        <v>0</v>
      </c>
      <c r="K345" s="171">
        <v>0</v>
      </c>
      <c r="L345" s="171">
        <v>0</v>
      </c>
      <c r="M345" s="171">
        <v>0</v>
      </c>
      <c r="N345" s="171">
        <v>0</v>
      </c>
      <c r="O345" s="171">
        <v>0</v>
      </c>
      <c r="P345" s="171">
        <v>0</v>
      </c>
      <c r="Q345" s="171">
        <v>0</v>
      </c>
      <c r="R345" s="171">
        <v>0</v>
      </c>
      <c r="S345" s="171">
        <v>0</v>
      </c>
      <c r="T345" s="171">
        <v>0</v>
      </c>
      <c r="U345" s="171">
        <v>0</v>
      </c>
      <c r="V345" s="171">
        <v>0</v>
      </c>
      <c r="W345" s="180">
        <v>0</v>
      </c>
      <c r="X345" s="180">
        <v>0</v>
      </c>
      <c r="Y345" s="180">
        <v>0</v>
      </c>
      <c r="Z345" s="181">
        <v>0</v>
      </c>
    </row>
    <row r="346" spans="1:26" x14ac:dyDescent="0.4">
      <c r="A346" s="104" t="s">
        <v>293</v>
      </c>
      <c r="B346" s="169">
        <v>151</v>
      </c>
      <c r="C346" s="87">
        <v>87</v>
      </c>
      <c r="D346" s="87">
        <v>63</v>
      </c>
      <c r="E346" s="87">
        <v>28</v>
      </c>
      <c r="F346" s="87">
        <v>33</v>
      </c>
      <c r="G346" s="87">
        <v>43</v>
      </c>
      <c r="H346" s="87">
        <v>47</v>
      </c>
      <c r="I346" s="87">
        <v>30</v>
      </c>
      <c r="J346" s="87">
        <v>83</v>
      </c>
      <c r="K346" s="87">
        <v>38</v>
      </c>
      <c r="L346" s="87">
        <v>18</v>
      </c>
      <c r="M346" s="87">
        <v>69</v>
      </c>
      <c r="N346" s="87">
        <v>5</v>
      </c>
      <c r="O346" s="87">
        <v>55</v>
      </c>
      <c r="P346" s="87">
        <v>63</v>
      </c>
      <c r="Q346" s="87">
        <v>43</v>
      </c>
      <c r="R346" s="87">
        <v>44</v>
      </c>
      <c r="S346" s="87">
        <v>35</v>
      </c>
      <c r="T346" s="87">
        <v>48</v>
      </c>
      <c r="U346" s="87">
        <v>24</v>
      </c>
      <c r="V346" s="87">
        <v>44</v>
      </c>
      <c r="W346" s="102">
        <v>95</v>
      </c>
      <c r="X346" s="102">
        <v>49</v>
      </c>
      <c r="Y346" s="102">
        <v>72</v>
      </c>
      <c r="Z346" s="182">
        <v>65</v>
      </c>
    </row>
    <row r="347" spans="1:26" x14ac:dyDescent="0.4">
      <c r="B347" s="170">
        <v>0.01</v>
      </c>
      <c r="C347" s="171">
        <v>0.01</v>
      </c>
      <c r="D347" s="171">
        <v>0</v>
      </c>
      <c r="E347" s="171">
        <v>0.01</v>
      </c>
      <c r="F347" s="171">
        <v>0</v>
      </c>
      <c r="G347" s="171">
        <v>0.01</v>
      </c>
      <c r="H347" s="171">
        <v>0.01</v>
      </c>
      <c r="I347" s="171">
        <v>0.01</v>
      </c>
      <c r="J347" s="171">
        <v>0.01</v>
      </c>
      <c r="K347" s="171">
        <v>0</v>
      </c>
      <c r="L347" s="171">
        <v>0.01</v>
      </c>
      <c r="M347" s="171">
        <v>0</v>
      </c>
      <c r="N347" s="171">
        <v>0</v>
      </c>
      <c r="O347" s="171">
        <v>0.01</v>
      </c>
      <c r="P347" s="171">
        <v>0.01</v>
      </c>
      <c r="Q347" s="171">
        <v>0</v>
      </c>
      <c r="R347" s="171">
        <v>0.01</v>
      </c>
      <c r="S347" s="171">
        <v>0.01</v>
      </c>
      <c r="T347" s="171">
        <v>0</v>
      </c>
      <c r="U347" s="171">
        <v>0.01</v>
      </c>
      <c r="V347" s="171">
        <v>0.01</v>
      </c>
      <c r="W347" s="180">
        <v>0.01</v>
      </c>
      <c r="X347" s="180">
        <v>0.01</v>
      </c>
      <c r="Y347" s="180">
        <v>0.01</v>
      </c>
      <c r="Z347" s="181">
        <v>0</v>
      </c>
    </row>
    <row r="348" spans="1:26" x14ac:dyDescent="0.4">
      <c r="A348" s="104" t="s">
        <v>294</v>
      </c>
      <c r="B348" s="169">
        <v>132</v>
      </c>
      <c r="C348" s="87">
        <v>73</v>
      </c>
      <c r="D348" s="87">
        <v>58</v>
      </c>
      <c r="E348" s="87">
        <v>21</v>
      </c>
      <c r="F348" s="87">
        <v>29</v>
      </c>
      <c r="G348" s="87">
        <v>47</v>
      </c>
      <c r="H348" s="87">
        <v>34</v>
      </c>
      <c r="I348" s="87">
        <v>32</v>
      </c>
      <c r="J348" s="87">
        <v>67</v>
      </c>
      <c r="K348" s="87">
        <v>33</v>
      </c>
      <c r="L348" s="87">
        <v>16</v>
      </c>
      <c r="M348" s="87">
        <v>80</v>
      </c>
      <c r="N348" s="87">
        <v>3</v>
      </c>
      <c r="O348" s="87">
        <v>30</v>
      </c>
      <c r="P348" s="87">
        <v>55</v>
      </c>
      <c r="Q348" s="87">
        <v>43</v>
      </c>
      <c r="R348" s="87">
        <v>33</v>
      </c>
      <c r="S348" s="87">
        <v>31</v>
      </c>
      <c r="T348" s="87">
        <v>33</v>
      </c>
      <c r="U348" s="87">
        <v>17</v>
      </c>
      <c r="V348" s="87">
        <v>50</v>
      </c>
      <c r="W348" s="102">
        <v>83</v>
      </c>
      <c r="X348" s="102">
        <v>39</v>
      </c>
      <c r="Y348" s="102">
        <v>55</v>
      </c>
      <c r="Z348" s="182">
        <v>60</v>
      </c>
    </row>
    <row r="349" spans="1:26" x14ac:dyDescent="0.4">
      <c r="B349" s="170">
        <v>0</v>
      </c>
      <c r="C349" s="171">
        <v>0.01</v>
      </c>
      <c r="D349" s="171">
        <v>0</v>
      </c>
      <c r="E349" s="171">
        <v>0.01</v>
      </c>
      <c r="F349" s="171">
        <v>0</v>
      </c>
      <c r="G349" s="171">
        <v>0.01</v>
      </c>
      <c r="H349" s="171">
        <v>0</v>
      </c>
      <c r="I349" s="171">
        <v>0.01</v>
      </c>
      <c r="J349" s="171">
        <v>0.01</v>
      </c>
      <c r="K349" s="171">
        <v>0</v>
      </c>
      <c r="L349" s="171">
        <v>0.01</v>
      </c>
      <c r="M349" s="171">
        <v>0.01</v>
      </c>
      <c r="N349" s="171">
        <v>0</v>
      </c>
      <c r="O349" s="171">
        <v>0</v>
      </c>
      <c r="P349" s="171">
        <v>0.01</v>
      </c>
      <c r="Q349" s="171">
        <v>0</v>
      </c>
      <c r="R349" s="171">
        <v>0.01</v>
      </c>
      <c r="S349" s="171">
        <v>0.01</v>
      </c>
      <c r="T349" s="171">
        <v>0</v>
      </c>
      <c r="U349" s="171">
        <v>0</v>
      </c>
      <c r="V349" s="171">
        <v>0.01</v>
      </c>
      <c r="W349" s="180">
        <v>0</v>
      </c>
      <c r="X349" s="180">
        <v>0</v>
      </c>
      <c r="Y349" s="180">
        <v>0</v>
      </c>
      <c r="Z349" s="181">
        <v>0</v>
      </c>
    </row>
    <row r="350" spans="1:26" x14ac:dyDescent="0.4">
      <c r="A350" s="104" t="s">
        <v>295</v>
      </c>
      <c r="B350" s="169">
        <v>189</v>
      </c>
      <c r="C350" s="87">
        <v>103</v>
      </c>
      <c r="D350" s="87">
        <v>85</v>
      </c>
      <c r="E350" s="87">
        <v>26</v>
      </c>
      <c r="F350" s="87">
        <v>40</v>
      </c>
      <c r="G350" s="87">
        <v>66</v>
      </c>
      <c r="H350" s="87">
        <v>58</v>
      </c>
      <c r="I350" s="87">
        <v>32</v>
      </c>
      <c r="J350" s="87">
        <v>97</v>
      </c>
      <c r="K350" s="87">
        <v>59</v>
      </c>
      <c r="L350" s="87">
        <v>30</v>
      </c>
      <c r="M350" s="87">
        <v>93</v>
      </c>
      <c r="N350" s="87">
        <v>16</v>
      </c>
      <c r="O350" s="87">
        <v>50</v>
      </c>
      <c r="P350" s="87">
        <v>81</v>
      </c>
      <c r="Q350" s="87">
        <v>60</v>
      </c>
      <c r="R350" s="87">
        <v>47</v>
      </c>
      <c r="S350" s="87">
        <v>35</v>
      </c>
      <c r="T350" s="87">
        <v>72</v>
      </c>
      <c r="U350" s="87">
        <v>31</v>
      </c>
      <c r="V350" s="87">
        <v>50</v>
      </c>
      <c r="W350" s="102">
        <v>119</v>
      </c>
      <c r="X350" s="102">
        <v>61</v>
      </c>
      <c r="Y350" s="102">
        <v>87</v>
      </c>
      <c r="Z350" s="182">
        <v>94</v>
      </c>
    </row>
    <row r="351" spans="1:26" x14ac:dyDescent="0.4">
      <c r="B351" s="170">
        <v>0.01</v>
      </c>
      <c r="C351" s="171">
        <v>0.01</v>
      </c>
      <c r="D351" s="171">
        <v>0.01</v>
      </c>
      <c r="E351" s="171">
        <v>0.01</v>
      </c>
      <c r="F351" s="171">
        <v>0.01</v>
      </c>
      <c r="G351" s="171">
        <v>0.01</v>
      </c>
      <c r="H351" s="171">
        <v>0.01</v>
      </c>
      <c r="I351" s="171">
        <v>0.01</v>
      </c>
      <c r="J351" s="171">
        <v>0.01</v>
      </c>
      <c r="K351" s="171">
        <v>0</v>
      </c>
      <c r="L351" s="171">
        <v>0.01</v>
      </c>
      <c r="M351" s="171">
        <v>0.01</v>
      </c>
      <c r="N351" s="171">
        <v>0.01</v>
      </c>
      <c r="O351" s="171">
        <v>0.01</v>
      </c>
      <c r="P351" s="171">
        <v>0.01</v>
      </c>
      <c r="Q351" s="171">
        <v>0.01</v>
      </c>
      <c r="R351" s="171">
        <v>0.01</v>
      </c>
      <c r="S351" s="171">
        <v>0.01</v>
      </c>
      <c r="T351" s="171">
        <v>0.01</v>
      </c>
      <c r="U351" s="171">
        <v>0.01</v>
      </c>
      <c r="V351" s="171">
        <v>0.01</v>
      </c>
      <c r="W351" s="180">
        <v>0.01</v>
      </c>
      <c r="X351" s="180">
        <v>0.01</v>
      </c>
      <c r="Y351" s="180">
        <v>0.01</v>
      </c>
      <c r="Z351" s="181">
        <v>0.01</v>
      </c>
    </row>
    <row r="352" spans="1:26" x14ac:dyDescent="0.4">
      <c r="A352" s="104" t="s">
        <v>296</v>
      </c>
      <c r="B352" s="169">
        <v>148</v>
      </c>
      <c r="C352" s="87">
        <v>64</v>
      </c>
      <c r="D352" s="87">
        <v>84</v>
      </c>
      <c r="E352" s="87">
        <v>32</v>
      </c>
      <c r="F352" s="87">
        <v>36</v>
      </c>
      <c r="G352" s="87">
        <v>44</v>
      </c>
      <c r="H352" s="87">
        <v>36</v>
      </c>
      <c r="I352" s="87">
        <v>42</v>
      </c>
      <c r="J352" s="87">
        <v>63</v>
      </c>
      <c r="K352" s="87">
        <v>43</v>
      </c>
      <c r="L352" s="87">
        <v>24</v>
      </c>
      <c r="M352" s="87">
        <v>73</v>
      </c>
      <c r="N352" s="87">
        <v>13</v>
      </c>
      <c r="O352" s="87">
        <v>36</v>
      </c>
      <c r="P352" s="87">
        <v>59</v>
      </c>
      <c r="Q352" s="87">
        <v>43</v>
      </c>
      <c r="R352" s="87">
        <v>44</v>
      </c>
      <c r="S352" s="87">
        <v>36</v>
      </c>
      <c r="T352" s="87">
        <v>44</v>
      </c>
      <c r="U352" s="87">
        <v>26</v>
      </c>
      <c r="V352" s="87">
        <v>42</v>
      </c>
      <c r="W352" s="102">
        <v>102</v>
      </c>
      <c r="X352" s="102">
        <v>39</v>
      </c>
      <c r="Y352" s="102">
        <v>75</v>
      </c>
      <c r="Z352" s="182">
        <v>61</v>
      </c>
    </row>
    <row r="353" spans="1:26" x14ac:dyDescent="0.4">
      <c r="B353" s="170">
        <v>0.01</v>
      </c>
      <c r="C353" s="171">
        <v>0</v>
      </c>
      <c r="D353" s="171">
        <v>0.01</v>
      </c>
      <c r="E353" s="171">
        <v>0.01</v>
      </c>
      <c r="F353" s="171">
        <v>0</v>
      </c>
      <c r="G353" s="171">
        <v>0.01</v>
      </c>
      <c r="H353" s="171">
        <v>0</v>
      </c>
      <c r="I353" s="171">
        <v>0.01</v>
      </c>
      <c r="J353" s="171">
        <v>0.01</v>
      </c>
      <c r="K353" s="171">
        <v>0</v>
      </c>
      <c r="L353" s="171">
        <v>0.01</v>
      </c>
      <c r="M353" s="171">
        <v>0.01</v>
      </c>
      <c r="N353" s="171">
        <v>0</v>
      </c>
      <c r="O353" s="171">
        <v>0.01</v>
      </c>
      <c r="P353" s="171">
        <v>0.01</v>
      </c>
      <c r="Q353" s="171">
        <v>0</v>
      </c>
      <c r="R353" s="171">
        <v>0.01</v>
      </c>
      <c r="S353" s="171">
        <v>0.01</v>
      </c>
      <c r="T353" s="171">
        <v>0</v>
      </c>
      <c r="U353" s="171">
        <v>0.01</v>
      </c>
      <c r="V353" s="171">
        <v>0.01</v>
      </c>
      <c r="W353" s="180">
        <v>0.01</v>
      </c>
      <c r="X353" s="180">
        <v>0</v>
      </c>
      <c r="Y353" s="180">
        <v>0.01</v>
      </c>
      <c r="Z353" s="181">
        <v>0</v>
      </c>
    </row>
    <row r="354" spans="1:26" x14ac:dyDescent="0.4">
      <c r="A354" s="104" t="s">
        <v>297</v>
      </c>
      <c r="B354" s="169">
        <v>170</v>
      </c>
      <c r="C354" s="87">
        <v>72</v>
      </c>
      <c r="D354" s="87">
        <v>98</v>
      </c>
      <c r="E354" s="87">
        <v>23</v>
      </c>
      <c r="F354" s="87">
        <v>42</v>
      </c>
      <c r="G354" s="87">
        <v>61</v>
      </c>
      <c r="H354" s="87">
        <v>45</v>
      </c>
      <c r="I354" s="87">
        <v>47</v>
      </c>
      <c r="J354" s="87">
        <v>81</v>
      </c>
      <c r="K354" s="87">
        <v>42</v>
      </c>
      <c r="L354" s="87">
        <v>23</v>
      </c>
      <c r="M354" s="87">
        <v>78</v>
      </c>
      <c r="N354" s="87">
        <v>13</v>
      </c>
      <c r="O354" s="87">
        <v>53</v>
      </c>
      <c r="P354" s="87">
        <v>42</v>
      </c>
      <c r="Q354" s="87">
        <v>57</v>
      </c>
      <c r="R354" s="87">
        <v>70</v>
      </c>
      <c r="S354" s="87">
        <v>41</v>
      </c>
      <c r="T354" s="87">
        <v>55</v>
      </c>
      <c r="U354" s="87">
        <v>30</v>
      </c>
      <c r="V354" s="87">
        <v>45</v>
      </c>
      <c r="W354" s="102">
        <v>133</v>
      </c>
      <c r="X354" s="102">
        <v>22</v>
      </c>
      <c r="Y354" s="102">
        <v>96</v>
      </c>
      <c r="Z354" s="182">
        <v>58</v>
      </c>
    </row>
    <row r="355" spans="1:26" x14ac:dyDescent="0.4">
      <c r="B355" s="170">
        <v>0.01</v>
      </c>
      <c r="C355" s="171">
        <v>0.01</v>
      </c>
      <c r="D355" s="171">
        <v>0.01</v>
      </c>
      <c r="E355" s="171">
        <v>0.01</v>
      </c>
      <c r="F355" s="171">
        <v>0.01</v>
      </c>
      <c r="G355" s="171">
        <v>0.01</v>
      </c>
      <c r="H355" s="171">
        <v>0.01</v>
      </c>
      <c r="I355" s="171">
        <v>0.01</v>
      </c>
      <c r="J355" s="171">
        <v>0.01</v>
      </c>
      <c r="K355" s="171">
        <v>0</v>
      </c>
      <c r="L355" s="171">
        <v>0.01</v>
      </c>
      <c r="M355" s="171">
        <v>0.01</v>
      </c>
      <c r="N355" s="171">
        <v>0</v>
      </c>
      <c r="O355" s="171">
        <v>0.01</v>
      </c>
      <c r="P355" s="171">
        <v>0</v>
      </c>
      <c r="Q355" s="171">
        <v>0.01</v>
      </c>
      <c r="R355" s="171">
        <v>0.01</v>
      </c>
      <c r="S355" s="171">
        <v>0.01</v>
      </c>
      <c r="T355" s="171">
        <v>0.01</v>
      </c>
      <c r="U355" s="171">
        <v>0.01</v>
      </c>
      <c r="V355" s="171">
        <v>0.01</v>
      </c>
      <c r="W355" s="180">
        <v>0.01</v>
      </c>
      <c r="X355" s="180">
        <v>0</v>
      </c>
      <c r="Y355" s="180">
        <v>0.01</v>
      </c>
      <c r="Z355" s="181">
        <v>0</v>
      </c>
    </row>
    <row r="356" spans="1:26" x14ac:dyDescent="0.4">
      <c r="A356" s="104" t="s">
        <v>298</v>
      </c>
      <c r="B356" s="169">
        <v>139</v>
      </c>
      <c r="C356" s="87">
        <v>68</v>
      </c>
      <c r="D356" s="87">
        <v>71</v>
      </c>
      <c r="E356" s="87">
        <v>35</v>
      </c>
      <c r="F356" s="87">
        <v>43</v>
      </c>
      <c r="G356" s="87">
        <v>29</v>
      </c>
      <c r="H356" s="87">
        <v>32</v>
      </c>
      <c r="I356" s="87">
        <v>14</v>
      </c>
      <c r="J356" s="87">
        <v>61</v>
      </c>
      <c r="K356" s="87">
        <v>64</v>
      </c>
      <c r="L356" s="87">
        <v>24</v>
      </c>
      <c r="M356" s="87">
        <v>81</v>
      </c>
      <c r="N356" s="87">
        <v>9</v>
      </c>
      <c r="O356" s="87">
        <v>24</v>
      </c>
      <c r="P356" s="87">
        <v>111</v>
      </c>
      <c r="Q356" s="87">
        <v>16</v>
      </c>
      <c r="R356" s="87">
        <v>10</v>
      </c>
      <c r="S356" s="87">
        <v>29</v>
      </c>
      <c r="T356" s="87">
        <v>45</v>
      </c>
      <c r="U356" s="87">
        <v>34</v>
      </c>
      <c r="V356" s="87">
        <v>30</v>
      </c>
      <c r="W356" s="102">
        <v>96</v>
      </c>
      <c r="X356" s="102">
        <v>37</v>
      </c>
      <c r="Y356" s="102">
        <v>70</v>
      </c>
      <c r="Z356" s="182">
        <v>59</v>
      </c>
    </row>
    <row r="357" spans="1:26" x14ac:dyDescent="0.4">
      <c r="B357" s="170">
        <v>0.01</v>
      </c>
      <c r="C357" s="171">
        <v>0.01</v>
      </c>
      <c r="D357" s="171">
        <v>0.01</v>
      </c>
      <c r="E357" s="171">
        <v>0.01</v>
      </c>
      <c r="F357" s="171">
        <v>0.01</v>
      </c>
      <c r="G357" s="171">
        <v>0</v>
      </c>
      <c r="H357" s="171">
        <v>0</v>
      </c>
      <c r="I357" s="171">
        <v>0</v>
      </c>
      <c r="J357" s="171">
        <v>0.01</v>
      </c>
      <c r="K357" s="171">
        <v>0</v>
      </c>
      <c r="L357" s="171">
        <v>0.01</v>
      </c>
      <c r="M357" s="171">
        <v>0.01</v>
      </c>
      <c r="N357" s="171">
        <v>0</v>
      </c>
      <c r="O357" s="171">
        <v>0</v>
      </c>
      <c r="P357" s="171">
        <v>0.01</v>
      </c>
      <c r="Q357" s="171">
        <v>0</v>
      </c>
      <c r="R357" s="171">
        <v>0</v>
      </c>
      <c r="S357" s="171">
        <v>0</v>
      </c>
      <c r="T357" s="171">
        <v>0</v>
      </c>
      <c r="U357" s="171">
        <v>0.01</v>
      </c>
      <c r="V357" s="171">
        <v>0</v>
      </c>
      <c r="W357" s="180">
        <v>0.01</v>
      </c>
      <c r="X357" s="180">
        <v>0</v>
      </c>
      <c r="Y357" s="180">
        <v>0.01</v>
      </c>
      <c r="Z357" s="181">
        <v>0</v>
      </c>
    </row>
    <row r="358" spans="1:26" x14ac:dyDescent="0.4">
      <c r="A358" s="104" t="s">
        <v>299</v>
      </c>
      <c r="B358" s="169">
        <v>117</v>
      </c>
      <c r="C358" s="87">
        <v>62</v>
      </c>
      <c r="D358" s="87">
        <v>56</v>
      </c>
      <c r="E358" s="87">
        <v>14</v>
      </c>
      <c r="F358" s="87">
        <v>35</v>
      </c>
      <c r="G358" s="87">
        <v>35</v>
      </c>
      <c r="H358" s="87">
        <v>33</v>
      </c>
      <c r="I358" s="87">
        <v>40</v>
      </c>
      <c r="J358" s="87">
        <v>49</v>
      </c>
      <c r="K358" s="87">
        <v>29</v>
      </c>
      <c r="L358" s="87">
        <v>15</v>
      </c>
      <c r="M358" s="87">
        <v>52</v>
      </c>
      <c r="N358" s="87">
        <v>10</v>
      </c>
      <c r="O358" s="87">
        <v>38</v>
      </c>
      <c r="P358" s="87">
        <v>32</v>
      </c>
      <c r="Q358" s="87">
        <v>41</v>
      </c>
      <c r="R358" s="87">
        <v>44</v>
      </c>
      <c r="S358" s="87">
        <v>22</v>
      </c>
      <c r="T358" s="87">
        <v>39</v>
      </c>
      <c r="U358" s="87">
        <v>11</v>
      </c>
      <c r="V358" s="87">
        <v>46</v>
      </c>
      <c r="W358" s="102">
        <v>84</v>
      </c>
      <c r="X358" s="102">
        <v>29</v>
      </c>
      <c r="Y358" s="102">
        <v>64</v>
      </c>
      <c r="Z358" s="182">
        <v>43</v>
      </c>
    </row>
    <row r="359" spans="1:26" x14ac:dyDescent="0.4">
      <c r="B359" s="170">
        <v>0</v>
      </c>
      <c r="C359" s="171">
        <v>0</v>
      </c>
      <c r="D359" s="171">
        <v>0</v>
      </c>
      <c r="E359" s="171">
        <v>0</v>
      </c>
      <c r="F359" s="171">
        <v>0</v>
      </c>
      <c r="G359" s="171">
        <v>0</v>
      </c>
      <c r="H359" s="171">
        <v>0</v>
      </c>
      <c r="I359" s="171">
        <v>0.01</v>
      </c>
      <c r="J359" s="171">
        <v>0.01</v>
      </c>
      <c r="K359" s="171">
        <v>0</v>
      </c>
      <c r="L359" s="171">
        <v>0</v>
      </c>
      <c r="M359" s="171">
        <v>0</v>
      </c>
      <c r="N359" s="171">
        <v>0</v>
      </c>
      <c r="O359" s="171">
        <v>0.01</v>
      </c>
      <c r="P359" s="171">
        <v>0</v>
      </c>
      <c r="Q359" s="171">
        <v>0</v>
      </c>
      <c r="R359" s="171">
        <v>0.01</v>
      </c>
      <c r="S359" s="171">
        <v>0</v>
      </c>
      <c r="T359" s="171">
        <v>0</v>
      </c>
      <c r="U359" s="171">
        <v>0</v>
      </c>
      <c r="V359" s="171">
        <v>0.01</v>
      </c>
      <c r="W359" s="180">
        <v>0</v>
      </c>
      <c r="X359" s="180">
        <v>0</v>
      </c>
      <c r="Y359" s="180">
        <v>0.01</v>
      </c>
      <c r="Z359" s="181">
        <v>0</v>
      </c>
    </row>
    <row r="360" spans="1:26" x14ac:dyDescent="0.4">
      <c r="A360" s="104" t="s">
        <v>300</v>
      </c>
      <c r="B360" s="169">
        <v>90</v>
      </c>
      <c r="C360" s="87">
        <v>32</v>
      </c>
      <c r="D360" s="87">
        <v>58</v>
      </c>
      <c r="E360" s="87">
        <v>6</v>
      </c>
      <c r="F360" s="87">
        <v>13</v>
      </c>
      <c r="G360" s="87">
        <v>23</v>
      </c>
      <c r="H360" s="87">
        <v>48</v>
      </c>
      <c r="I360" s="87">
        <v>14</v>
      </c>
      <c r="J360" s="87">
        <v>35</v>
      </c>
      <c r="K360" s="87">
        <v>41</v>
      </c>
      <c r="L360" s="87">
        <v>26</v>
      </c>
      <c r="M360" s="87">
        <v>27</v>
      </c>
      <c r="N360" s="87">
        <v>4</v>
      </c>
      <c r="O360" s="87">
        <v>33</v>
      </c>
      <c r="P360" s="87">
        <v>43</v>
      </c>
      <c r="Q360" s="87">
        <v>32</v>
      </c>
      <c r="R360" s="87">
        <v>16</v>
      </c>
      <c r="S360" s="87">
        <v>28</v>
      </c>
      <c r="T360" s="87">
        <v>32</v>
      </c>
      <c r="U360" s="87">
        <v>24</v>
      </c>
      <c r="V360" s="87">
        <v>6</v>
      </c>
      <c r="W360" s="102">
        <v>61</v>
      </c>
      <c r="X360" s="102">
        <v>23</v>
      </c>
      <c r="Y360" s="102">
        <v>35</v>
      </c>
      <c r="Z360" s="182">
        <v>45</v>
      </c>
    </row>
    <row r="361" spans="1:26" x14ac:dyDescent="0.4">
      <c r="B361" s="170">
        <v>0</v>
      </c>
      <c r="C361" s="171">
        <v>0</v>
      </c>
      <c r="D361" s="171">
        <v>0</v>
      </c>
      <c r="E361" s="171">
        <v>0</v>
      </c>
      <c r="F361" s="171">
        <v>0</v>
      </c>
      <c r="G361" s="171">
        <v>0</v>
      </c>
      <c r="H361" s="171">
        <v>0.01</v>
      </c>
      <c r="I361" s="171">
        <v>0</v>
      </c>
      <c r="J361" s="171">
        <v>0</v>
      </c>
      <c r="K361" s="171">
        <v>0</v>
      </c>
      <c r="L361" s="171">
        <v>0.01</v>
      </c>
      <c r="M361" s="171">
        <v>0</v>
      </c>
      <c r="N361" s="171">
        <v>0</v>
      </c>
      <c r="O361" s="171">
        <v>0</v>
      </c>
      <c r="P361" s="171">
        <v>0</v>
      </c>
      <c r="Q361" s="171">
        <v>0</v>
      </c>
      <c r="R361" s="171">
        <v>0</v>
      </c>
      <c r="S361" s="171">
        <v>0</v>
      </c>
      <c r="T361" s="171">
        <v>0</v>
      </c>
      <c r="U361" s="171">
        <v>0.01</v>
      </c>
      <c r="V361" s="171">
        <v>0</v>
      </c>
      <c r="W361" s="180">
        <v>0</v>
      </c>
      <c r="X361" s="180">
        <v>0</v>
      </c>
      <c r="Y361" s="180">
        <v>0</v>
      </c>
      <c r="Z361" s="181">
        <v>0</v>
      </c>
    </row>
    <row r="362" spans="1:26" x14ac:dyDescent="0.4">
      <c r="A362" s="104" t="s">
        <v>301</v>
      </c>
      <c r="B362" s="169">
        <v>152</v>
      </c>
      <c r="C362" s="87">
        <v>77</v>
      </c>
      <c r="D362" s="87">
        <v>74</v>
      </c>
      <c r="E362" s="87">
        <v>13</v>
      </c>
      <c r="F362" s="87">
        <v>44</v>
      </c>
      <c r="G362" s="87">
        <v>42</v>
      </c>
      <c r="H362" s="87">
        <v>54</v>
      </c>
      <c r="I362" s="87">
        <v>26</v>
      </c>
      <c r="J362" s="87">
        <v>34</v>
      </c>
      <c r="K362" s="87">
        <v>92</v>
      </c>
      <c r="L362" s="87">
        <v>12</v>
      </c>
      <c r="M362" s="87">
        <v>38</v>
      </c>
      <c r="N362" s="87">
        <v>58</v>
      </c>
      <c r="O362" s="87">
        <v>43</v>
      </c>
      <c r="P362" s="87">
        <v>120</v>
      </c>
      <c r="Q362" s="87">
        <v>23</v>
      </c>
      <c r="R362" s="87">
        <v>5</v>
      </c>
      <c r="S362" s="87">
        <v>58</v>
      </c>
      <c r="T362" s="87">
        <v>50</v>
      </c>
      <c r="U362" s="87">
        <v>18</v>
      </c>
      <c r="V362" s="87">
        <v>26</v>
      </c>
      <c r="W362" s="102">
        <v>114</v>
      </c>
      <c r="X362" s="102">
        <v>31</v>
      </c>
      <c r="Y362" s="102">
        <v>55</v>
      </c>
      <c r="Z362" s="182">
        <v>88</v>
      </c>
    </row>
    <row r="363" spans="1:26" x14ac:dyDescent="0.4">
      <c r="B363" s="170">
        <v>0.01</v>
      </c>
      <c r="C363" s="171">
        <v>0.01</v>
      </c>
      <c r="D363" s="171">
        <v>0.01</v>
      </c>
      <c r="E363" s="171">
        <v>0</v>
      </c>
      <c r="F363" s="171">
        <v>0.01</v>
      </c>
      <c r="G363" s="171">
        <v>0.01</v>
      </c>
      <c r="H363" s="171">
        <v>0.01</v>
      </c>
      <c r="I363" s="171">
        <v>0.01</v>
      </c>
      <c r="J363" s="171">
        <v>0</v>
      </c>
      <c r="K363" s="171">
        <v>0.01</v>
      </c>
      <c r="L363" s="171">
        <v>0</v>
      </c>
      <c r="M363" s="171">
        <v>0</v>
      </c>
      <c r="N363" s="171">
        <v>0.02</v>
      </c>
      <c r="O363" s="171">
        <v>0.01</v>
      </c>
      <c r="P363" s="171">
        <v>0.01</v>
      </c>
      <c r="Q363" s="171">
        <v>0</v>
      </c>
      <c r="R363" s="171">
        <v>0</v>
      </c>
      <c r="S363" s="171">
        <v>0.01</v>
      </c>
      <c r="T363" s="171">
        <v>0</v>
      </c>
      <c r="U363" s="171">
        <v>0</v>
      </c>
      <c r="V363" s="171">
        <v>0</v>
      </c>
      <c r="W363" s="180">
        <v>0.01</v>
      </c>
      <c r="X363" s="180">
        <v>0</v>
      </c>
      <c r="Y363" s="180">
        <v>0</v>
      </c>
      <c r="Z363" s="181">
        <v>0.01</v>
      </c>
    </row>
    <row r="364" spans="1:26" x14ac:dyDescent="0.4">
      <c r="A364" s="104" t="s">
        <v>302</v>
      </c>
      <c r="B364" s="169">
        <v>103</v>
      </c>
      <c r="C364" s="87">
        <v>48</v>
      </c>
      <c r="D364" s="87">
        <v>54</v>
      </c>
      <c r="E364" s="87">
        <v>5</v>
      </c>
      <c r="F364" s="87">
        <v>29</v>
      </c>
      <c r="G364" s="87">
        <v>30</v>
      </c>
      <c r="H364" s="87">
        <v>39</v>
      </c>
      <c r="I364" s="87">
        <v>12</v>
      </c>
      <c r="J364" s="87">
        <v>36</v>
      </c>
      <c r="K364" s="87">
        <v>54</v>
      </c>
      <c r="L364" s="87">
        <v>10</v>
      </c>
      <c r="M364" s="87">
        <v>20</v>
      </c>
      <c r="N364" s="87">
        <v>40</v>
      </c>
      <c r="O364" s="87">
        <v>33</v>
      </c>
      <c r="P364" s="87">
        <v>40</v>
      </c>
      <c r="Q364" s="87">
        <v>36</v>
      </c>
      <c r="R364" s="87">
        <v>26</v>
      </c>
      <c r="S364" s="87">
        <v>33</v>
      </c>
      <c r="T364" s="87">
        <v>47</v>
      </c>
      <c r="U364" s="87">
        <v>17</v>
      </c>
      <c r="V364" s="87">
        <v>6</v>
      </c>
      <c r="W364" s="102">
        <v>65</v>
      </c>
      <c r="X364" s="102">
        <v>31</v>
      </c>
      <c r="Y364" s="102">
        <v>39</v>
      </c>
      <c r="Z364" s="182">
        <v>56</v>
      </c>
    </row>
    <row r="365" spans="1:26" x14ac:dyDescent="0.4">
      <c r="B365" s="170">
        <v>0</v>
      </c>
      <c r="C365" s="171">
        <v>0</v>
      </c>
      <c r="D365" s="171">
        <v>0</v>
      </c>
      <c r="E365" s="171">
        <v>0</v>
      </c>
      <c r="F365" s="171">
        <v>0</v>
      </c>
      <c r="G365" s="171">
        <v>0</v>
      </c>
      <c r="H365" s="171">
        <v>0</v>
      </c>
      <c r="I365" s="171">
        <v>0</v>
      </c>
      <c r="J365" s="171">
        <v>0</v>
      </c>
      <c r="K365" s="171">
        <v>0</v>
      </c>
      <c r="L365" s="171">
        <v>0</v>
      </c>
      <c r="M365" s="171">
        <v>0</v>
      </c>
      <c r="N365" s="171">
        <v>0.01</v>
      </c>
      <c r="O365" s="171">
        <v>0</v>
      </c>
      <c r="P365" s="171">
        <v>0</v>
      </c>
      <c r="Q365" s="171">
        <v>0</v>
      </c>
      <c r="R365" s="171">
        <v>0</v>
      </c>
      <c r="S365" s="171">
        <v>0.01</v>
      </c>
      <c r="T365" s="171">
        <v>0</v>
      </c>
      <c r="U365" s="171">
        <v>0</v>
      </c>
      <c r="V365" s="171">
        <v>0</v>
      </c>
      <c r="W365" s="180">
        <v>0</v>
      </c>
      <c r="X365" s="180">
        <v>0</v>
      </c>
      <c r="Y365" s="180">
        <v>0</v>
      </c>
      <c r="Z365" s="181">
        <v>0</v>
      </c>
    </row>
    <row r="366" spans="1:26" x14ac:dyDescent="0.4">
      <c r="A366" s="104" t="s">
        <v>303</v>
      </c>
      <c r="B366" s="169">
        <v>58</v>
      </c>
      <c r="C366" s="87">
        <v>29</v>
      </c>
      <c r="D366" s="87">
        <v>29</v>
      </c>
      <c r="E366" s="87">
        <v>8</v>
      </c>
      <c r="F366" s="87">
        <v>15</v>
      </c>
      <c r="G366" s="87">
        <v>14</v>
      </c>
      <c r="H366" s="87">
        <v>21</v>
      </c>
      <c r="I366" s="87">
        <v>10</v>
      </c>
      <c r="J366" s="87">
        <v>13</v>
      </c>
      <c r="K366" s="87">
        <v>35</v>
      </c>
      <c r="L366" s="87">
        <v>2</v>
      </c>
      <c r="M366" s="87">
        <v>6</v>
      </c>
      <c r="N366" s="87">
        <v>29</v>
      </c>
      <c r="O366" s="87">
        <v>21</v>
      </c>
      <c r="P366" s="87">
        <v>7</v>
      </c>
      <c r="Q366" s="87">
        <v>27</v>
      </c>
      <c r="R366" s="87">
        <v>24</v>
      </c>
      <c r="S366" s="87">
        <v>19</v>
      </c>
      <c r="T366" s="87">
        <v>24</v>
      </c>
      <c r="U366" s="87">
        <v>7</v>
      </c>
      <c r="V366" s="87">
        <v>8</v>
      </c>
      <c r="W366" s="102">
        <v>41</v>
      </c>
      <c r="X366" s="102">
        <v>14</v>
      </c>
      <c r="Y366" s="102">
        <v>23</v>
      </c>
      <c r="Z366" s="182">
        <v>33</v>
      </c>
    </row>
    <row r="367" spans="1:26" x14ac:dyDescent="0.4">
      <c r="B367" s="170">
        <v>0</v>
      </c>
      <c r="C367" s="171">
        <v>0</v>
      </c>
      <c r="D367" s="171">
        <v>0</v>
      </c>
      <c r="E367" s="171">
        <v>0</v>
      </c>
      <c r="F367" s="171">
        <v>0</v>
      </c>
      <c r="G367" s="171">
        <v>0</v>
      </c>
      <c r="H367" s="171">
        <v>0</v>
      </c>
      <c r="I367" s="171">
        <v>0</v>
      </c>
      <c r="J367" s="171">
        <v>0</v>
      </c>
      <c r="K367" s="171">
        <v>0</v>
      </c>
      <c r="L367" s="171">
        <v>0</v>
      </c>
      <c r="M367" s="171">
        <v>0</v>
      </c>
      <c r="N367" s="171">
        <v>0.01</v>
      </c>
      <c r="O367" s="171">
        <v>0</v>
      </c>
      <c r="P367" s="171">
        <v>0</v>
      </c>
      <c r="Q367" s="171">
        <v>0</v>
      </c>
      <c r="R367" s="171">
        <v>0</v>
      </c>
      <c r="S367" s="171">
        <v>0</v>
      </c>
      <c r="T367" s="171">
        <v>0</v>
      </c>
      <c r="U367" s="171">
        <v>0</v>
      </c>
      <c r="V367" s="171">
        <v>0</v>
      </c>
      <c r="W367" s="180">
        <v>0</v>
      </c>
      <c r="X367" s="180">
        <v>0</v>
      </c>
      <c r="Y367" s="180">
        <v>0</v>
      </c>
      <c r="Z367" s="181">
        <v>0</v>
      </c>
    </row>
    <row r="368" spans="1:26" x14ac:dyDescent="0.4">
      <c r="A368" s="104" t="s">
        <v>304</v>
      </c>
      <c r="B368" s="169">
        <v>108</v>
      </c>
      <c r="C368" s="87">
        <v>52</v>
      </c>
      <c r="D368" s="87">
        <v>56</v>
      </c>
      <c r="E368" s="87">
        <v>16</v>
      </c>
      <c r="F368" s="87">
        <v>23</v>
      </c>
      <c r="G368" s="87">
        <v>27</v>
      </c>
      <c r="H368" s="87">
        <v>43</v>
      </c>
      <c r="I368" s="87">
        <v>15</v>
      </c>
      <c r="J368" s="87">
        <v>31</v>
      </c>
      <c r="K368" s="87">
        <v>62</v>
      </c>
      <c r="L368" s="87">
        <v>6</v>
      </c>
      <c r="M368" s="87">
        <v>13</v>
      </c>
      <c r="N368" s="87">
        <v>42</v>
      </c>
      <c r="O368" s="87">
        <v>47</v>
      </c>
      <c r="P368" s="87">
        <v>37</v>
      </c>
      <c r="Q368" s="87">
        <v>43</v>
      </c>
      <c r="R368" s="87">
        <v>28</v>
      </c>
      <c r="S368" s="87">
        <v>30</v>
      </c>
      <c r="T368" s="87">
        <v>48</v>
      </c>
      <c r="U368" s="87">
        <v>15</v>
      </c>
      <c r="V368" s="87">
        <v>15</v>
      </c>
      <c r="W368" s="102">
        <v>83</v>
      </c>
      <c r="X368" s="102">
        <v>24</v>
      </c>
      <c r="Y368" s="102">
        <v>42</v>
      </c>
      <c r="Z368" s="182">
        <v>62</v>
      </c>
    </row>
    <row r="369" spans="1:26" x14ac:dyDescent="0.4">
      <c r="B369" s="170">
        <v>0</v>
      </c>
      <c r="C369" s="171">
        <v>0</v>
      </c>
      <c r="D369" s="171">
        <v>0</v>
      </c>
      <c r="E369" s="171">
        <v>0</v>
      </c>
      <c r="F369" s="171">
        <v>0</v>
      </c>
      <c r="G369" s="171">
        <v>0</v>
      </c>
      <c r="H369" s="171">
        <v>0.01</v>
      </c>
      <c r="I369" s="171">
        <v>0</v>
      </c>
      <c r="J369" s="171">
        <v>0</v>
      </c>
      <c r="K369" s="171">
        <v>0</v>
      </c>
      <c r="L369" s="171">
        <v>0</v>
      </c>
      <c r="M369" s="171">
        <v>0</v>
      </c>
      <c r="N369" s="171">
        <v>0.01</v>
      </c>
      <c r="O369" s="171">
        <v>0.01</v>
      </c>
      <c r="P369" s="171">
        <v>0</v>
      </c>
      <c r="Q369" s="171">
        <v>0</v>
      </c>
      <c r="R369" s="171">
        <v>0</v>
      </c>
      <c r="S369" s="171">
        <v>0</v>
      </c>
      <c r="T369" s="171">
        <v>0</v>
      </c>
      <c r="U369" s="171">
        <v>0</v>
      </c>
      <c r="V369" s="171">
        <v>0</v>
      </c>
      <c r="W369" s="180">
        <v>0</v>
      </c>
      <c r="X369" s="180">
        <v>0</v>
      </c>
      <c r="Y369" s="180">
        <v>0</v>
      </c>
      <c r="Z369" s="181">
        <v>0</v>
      </c>
    </row>
    <row r="370" spans="1:26" x14ac:dyDescent="0.4">
      <c r="A370" s="104" t="s">
        <v>305</v>
      </c>
      <c r="B370" s="169">
        <v>135</v>
      </c>
      <c r="C370" s="87">
        <v>60</v>
      </c>
      <c r="D370" s="87">
        <v>74</v>
      </c>
      <c r="E370" s="87">
        <v>22</v>
      </c>
      <c r="F370" s="87">
        <v>38</v>
      </c>
      <c r="G370" s="87">
        <v>31</v>
      </c>
      <c r="H370" s="87">
        <v>44</v>
      </c>
      <c r="I370" s="87">
        <v>20</v>
      </c>
      <c r="J370" s="87">
        <v>36</v>
      </c>
      <c r="K370" s="87">
        <v>80</v>
      </c>
      <c r="L370" s="87">
        <v>5</v>
      </c>
      <c r="M370" s="87">
        <v>21</v>
      </c>
      <c r="N370" s="87">
        <v>57</v>
      </c>
      <c r="O370" s="87">
        <v>51</v>
      </c>
      <c r="P370" s="87">
        <v>47</v>
      </c>
      <c r="Q370" s="87">
        <v>52</v>
      </c>
      <c r="R370" s="87">
        <v>35</v>
      </c>
      <c r="S370" s="87">
        <v>38</v>
      </c>
      <c r="T370" s="87">
        <v>52</v>
      </c>
      <c r="U370" s="87">
        <v>15</v>
      </c>
      <c r="V370" s="87">
        <v>30</v>
      </c>
      <c r="W370" s="102">
        <v>99</v>
      </c>
      <c r="X370" s="102">
        <v>31</v>
      </c>
      <c r="Y370" s="102">
        <v>46</v>
      </c>
      <c r="Z370" s="182">
        <v>83</v>
      </c>
    </row>
    <row r="371" spans="1:26" x14ac:dyDescent="0.4">
      <c r="B371" s="170">
        <v>0</v>
      </c>
      <c r="C371" s="171">
        <v>0</v>
      </c>
      <c r="D371" s="171">
        <v>0.01</v>
      </c>
      <c r="E371" s="171">
        <v>0.01</v>
      </c>
      <c r="F371" s="171">
        <v>0</v>
      </c>
      <c r="G371" s="171">
        <v>0</v>
      </c>
      <c r="H371" s="171">
        <v>0.01</v>
      </c>
      <c r="I371" s="171">
        <v>0.01</v>
      </c>
      <c r="J371" s="171">
        <v>0</v>
      </c>
      <c r="K371" s="171">
        <v>0.01</v>
      </c>
      <c r="L371" s="171">
        <v>0</v>
      </c>
      <c r="M371" s="171">
        <v>0</v>
      </c>
      <c r="N371" s="171">
        <v>0.02</v>
      </c>
      <c r="O371" s="171">
        <v>0.01</v>
      </c>
      <c r="P371" s="171">
        <v>0</v>
      </c>
      <c r="Q371" s="171">
        <v>0.01</v>
      </c>
      <c r="R371" s="171">
        <v>0.01</v>
      </c>
      <c r="S371" s="171">
        <v>0.01</v>
      </c>
      <c r="T371" s="171">
        <v>0.01</v>
      </c>
      <c r="U371" s="171">
        <v>0</v>
      </c>
      <c r="V371" s="171">
        <v>0</v>
      </c>
      <c r="W371" s="180">
        <v>0.01</v>
      </c>
      <c r="X371" s="180">
        <v>0</v>
      </c>
      <c r="Y371" s="180">
        <v>0</v>
      </c>
      <c r="Z371" s="181">
        <v>0.01</v>
      </c>
    </row>
    <row r="372" spans="1:26" x14ac:dyDescent="0.4">
      <c r="A372" s="104" t="s">
        <v>306</v>
      </c>
      <c r="B372" s="169">
        <v>56</v>
      </c>
      <c r="C372" s="87">
        <v>30</v>
      </c>
      <c r="D372" s="87">
        <v>25</v>
      </c>
      <c r="E372" s="87">
        <v>8</v>
      </c>
      <c r="F372" s="87">
        <v>16</v>
      </c>
      <c r="G372" s="87">
        <v>17</v>
      </c>
      <c r="H372" s="87">
        <v>15</v>
      </c>
      <c r="I372" s="87">
        <v>11</v>
      </c>
      <c r="J372" s="87">
        <v>14</v>
      </c>
      <c r="K372" s="87">
        <v>30</v>
      </c>
      <c r="L372" s="87">
        <v>3</v>
      </c>
      <c r="M372" s="87">
        <v>9</v>
      </c>
      <c r="N372" s="87">
        <v>29</v>
      </c>
      <c r="O372" s="87">
        <v>15</v>
      </c>
      <c r="P372" s="87">
        <v>7</v>
      </c>
      <c r="Q372" s="87">
        <v>32</v>
      </c>
      <c r="R372" s="87">
        <v>17</v>
      </c>
      <c r="S372" s="87">
        <v>22</v>
      </c>
      <c r="T372" s="87">
        <v>25</v>
      </c>
      <c r="U372" s="87">
        <v>2</v>
      </c>
      <c r="V372" s="87">
        <v>7</v>
      </c>
      <c r="W372" s="102">
        <v>37</v>
      </c>
      <c r="X372" s="102">
        <v>14</v>
      </c>
      <c r="Y372" s="102">
        <v>20</v>
      </c>
      <c r="Z372" s="182">
        <v>32</v>
      </c>
    </row>
    <row r="373" spans="1:26" x14ac:dyDescent="0.4">
      <c r="B373" s="170">
        <v>0</v>
      </c>
      <c r="C373" s="171">
        <v>0</v>
      </c>
      <c r="D373" s="171">
        <v>0</v>
      </c>
      <c r="E373" s="171">
        <v>0</v>
      </c>
      <c r="F373" s="171">
        <v>0</v>
      </c>
      <c r="G373" s="171">
        <v>0</v>
      </c>
      <c r="H373" s="171">
        <v>0</v>
      </c>
      <c r="I373" s="171">
        <v>0</v>
      </c>
      <c r="J373" s="171">
        <v>0</v>
      </c>
      <c r="K373" s="171">
        <v>0</v>
      </c>
      <c r="L373" s="171">
        <v>0</v>
      </c>
      <c r="M373" s="171">
        <v>0</v>
      </c>
      <c r="N373" s="171">
        <v>0.01</v>
      </c>
      <c r="O373" s="171">
        <v>0</v>
      </c>
      <c r="P373" s="171">
        <v>0</v>
      </c>
      <c r="Q373" s="171">
        <v>0</v>
      </c>
      <c r="R373" s="171">
        <v>0</v>
      </c>
      <c r="S373" s="171">
        <v>0</v>
      </c>
      <c r="T373" s="171">
        <v>0</v>
      </c>
      <c r="U373" s="171">
        <v>0</v>
      </c>
      <c r="V373" s="171">
        <v>0</v>
      </c>
      <c r="W373" s="180">
        <v>0</v>
      </c>
      <c r="X373" s="180">
        <v>0</v>
      </c>
      <c r="Y373" s="180">
        <v>0</v>
      </c>
      <c r="Z373" s="181">
        <v>0</v>
      </c>
    </row>
    <row r="374" spans="1:26" x14ac:dyDescent="0.4">
      <c r="A374" s="104" t="s">
        <v>307</v>
      </c>
      <c r="B374" s="169">
        <v>26</v>
      </c>
      <c r="C374" s="87">
        <v>9</v>
      </c>
      <c r="D374" s="87">
        <v>17</v>
      </c>
      <c r="E374" s="87">
        <v>7</v>
      </c>
      <c r="F374" s="87">
        <v>6</v>
      </c>
      <c r="G374" s="87">
        <v>4</v>
      </c>
      <c r="H374" s="87">
        <v>9</v>
      </c>
      <c r="I374" s="87">
        <v>5</v>
      </c>
      <c r="J374" s="87">
        <v>7</v>
      </c>
      <c r="K374" s="87">
        <v>13</v>
      </c>
      <c r="L374" s="87">
        <v>2</v>
      </c>
      <c r="M374" s="87">
        <v>4</v>
      </c>
      <c r="N374" s="87">
        <v>10</v>
      </c>
      <c r="O374" s="87">
        <v>10</v>
      </c>
      <c r="P374" s="87">
        <v>0</v>
      </c>
      <c r="Q374" s="87">
        <v>17</v>
      </c>
      <c r="R374" s="87">
        <v>8</v>
      </c>
      <c r="S374" s="87">
        <v>9</v>
      </c>
      <c r="T374" s="87">
        <v>6</v>
      </c>
      <c r="U374" s="87">
        <v>4</v>
      </c>
      <c r="V374" s="87">
        <v>7</v>
      </c>
      <c r="W374" s="102">
        <v>15</v>
      </c>
      <c r="X374" s="102">
        <v>10</v>
      </c>
      <c r="Y374" s="102">
        <v>7</v>
      </c>
      <c r="Z374" s="182">
        <v>13</v>
      </c>
    </row>
    <row r="375" spans="1:26" x14ac:dyDescent="0.4">
      <c r="B375" s="170">
        <v>0</v>
      </c>
      <c r="C375" s="171">
        <v>0</v>
      </c>
      <c r="D375" s="171">
        <v>0</v>
      </c>
      <c r="E375" s="171">
        <v>0</v>
      </c>
      <c r="F375" s="171">
        <v>0</v>
      </c>
      <c r="G375" s="171">
        <v>0</v>
      </c>
      <c r="H375" s="171">
        <v>0</v>
      </c>
      <c r="I375" s="171">
        <v>0</v>
      </c>
      <c r="J375" s="171">
        <v>0</v>
      </c>
      <c r="K375" s="171">
        <v>0</v>
      </c>
      <c r="L375" s="171">
        <v>0</v>
      </c>
      <c r="M375" s="171">
        <v>0</v>
      </c>
      <c r="N375" s="171">
        <v>0</v>
      </c>
      <c r="O375" s="171">
        <v>0</v>
      </c>
      <c r="P375" s="171">
        <v>0</v>
      </c>
      <c r="Q375" s="171">
        <v>0</v>
      </c>
      <c r="R375" s="171">
        <v>0</v>
      </c>
      <c r="S375" s="171">
        <v>0</v>
      </c>
      <c r="T375" s="171">
        <v>0</v>
      </c>
      <c r="U375" s="171">
        <v>0</v>
      </c>
      <c r="V375" s="171">
        <v>0</v>
      </c>
      <c r="W375" s="180">
        <v>0</v>
      </c>
      <c r="X375" s="180">
        <v>0</v>
      </c>
      <c r="Y375" s="180">
        <v>0</v>
      </c>
      <c r="Z375" s="181">
        <v>0</v>
      </c>
    </row>
    <row r="376" spans="1:26" x14ac:dyDescent="0.4">
      <c r="A376" s="104" t="s">
        <v>308</v>
      </c>
      <c r="B376" s="169">
        <v>33</v>
      </c>
      <c r="C376" s="87">
        <v>16</v>
      </c>
      <c r="D376" s="87">
        <v>17</v>
      </c>
      <c r="E376" s="87">
        <v>2</v>
      </c>
      <c r="F376" s="87">
        <v>9</v>
      </c>
      <c r="G376" s="87">
        <v>8</v>
      </c>
      <c r="H376" s="87">
        <v>14</v>
      </c>
      <c r="I376" s="87">
        <v>4</v>
      </c>
      <c r="J376" s="87">
        <v>9</v>
      </c>
      <c r="K376" s="87">
        <v>19</v>
      </c>
      <c r="L376" s="87">
        <v>1</v>
      </c>
      <c r="M376" s="87">
        <v>4</v>
      </c>
      <c r="N376" s="87">
        <v>13</v>
      </c>
      <c r="O376" s="87">
        <v>15</v>
      </c>
      <c r="P376" s="87">
        <v>3</v>
      </c>
      <c r="Q376" s="87">
        <v>17</v>
      </c>
      <c r="R376" s="87">
        <v>13</v>
      </c>
      <c r="S376" s="87">
        <v>13</v>
      </c>
      <c r="T376" s="87">
        <v>12</v>
      </c>
      <c r="U376" s="87">
        <v>4</v>
      </c>
      <c r="V376" s="87">
        <v>4</v>
      </c>
      <c r="W376" s="102">
        <v>22</v>
      </c>
      <c r="X376" s="102">
        <v>10</v>
      </c>
      <c r="Y376" s="102">
        <v>13</v>
      </c>
      <c r="Z376" s="182">
        <v>18</v>
      </c>
    </row>
    <row r="377" spans="1:26" x14ac:dyDescent="0.4">
      <c r="B377" s="170">
        <v>0</v>
      </c>
      <c r="C377" s="171">
        <v>0</v>
      </c>
      <c r="D377" s="171">
        <v>0</v>
      </c>
      <c r="E377" s="171">
        <v>0</v>
      </c>
      <c r="F377" s="171">
        <v>0</v>
      </c>
      <c r="G377" s="171">
        <v>0</v>
      </c>
      <c r="H377" s="171">
        <v>0</v>
      </c>
      <c r="I377" s="171">
        <v>0</v>
      </c>
      <c r="J377" s="171">
        <v>0</v>
      </c>
      <c r="K377" s="171">
        <v>0</v>
      </c>
      <c r="L377" s="171">
        <v>0</v>
      </c>
      <c r="M377" s="171">
        <v>0</v>
      </c>
      <c r="N377" s="171">
        <v>0</v>
      </c>
      <c r="O377" s="171">
        <v>0</v>
      </c>
      <c r="P377" s="171">
        <v>0</v>
      </c>
      <c r="Q377" s="171">
        <v>0</v>
      </c>
      <c r="R377" s="171">
        <v>0</v>
      </c>
      <c r="S377" s="171">
        <v>0</v>
      </c>
      <c r="T377" s="171">
        <v>0</v>
      </c>
      <c r="U377" s="171">
        <v>0</v>
      </c>
      <c r="V377" s="171">
        <v>0</v>
      </c>
      <c r="W377" s="180">
        <v>0</v>
      </c>
      <c r="X377" s="180">
        <v>0</v>
      </c>
      <c r="Y377" s="180">
        <v>0</v>
      </c>
      <c r="Z377" s="181">
        <v>0</v>
      </c>
    </row>
    <row r="378" spans="1:26" x14ac:dyDescent="0.4">
      <c r="A378" s="104" t="s">
        <v>309</v>
      </c>
      <c r="B378" s="169">
        <v>140</v>
      </c>
      <c r="C378" s="87">
        <v>71</v>
      </c>
      <c r="D378" s="87">
        <v>69</v>
      </c>
      <c r="E378" s="87">
        <v>9</v>
      </c>
      <c r="F378" s="87">
        <v>36</v>
      </c>
      <c r="G378" s="87">
        <v>46</v>
      </c>
      <c r="H378" s="87">
        <v>49</v>
      </c>
      <c r="I378" s="87">
        <v>9</v>
      </c>
      <c r="J378" s="87">
        <v>32</v>
      </c>
      <c r="K378" s="87">
        <v>98</v>
      </c>
      <c r="L378" s="87">
        <v>12</v>
      </c>
      <c r="M378" s="87">
        <v>74</v>
      </c>
      <c r="N378" s="87">
        <v>11</v>
      </c>
      <c r="O378" s="87">
        <v>24</v>
      </c>
      <c r="P378" s="87">
        <v>17</v>
      </c>
      <c r="Q378" s="87">
        <v>58</v>
      </c>
      <c r="R378" s="87">
        <v>63</v>
      </c>
      <c r="S378" s="87">
        <v>35</v>
      </c>
      <c r="T378" s="87">
        <v>43</v>
      </c>
      <c r="U378" s="87">
        <v>16</v>
      </c>
      <c r="V378" s="87">
        <v>46</v>
      </c>
      <c r="W378" s="102">
        <v>76</v>
      </c>
      <c r="X378" s="102">
        <v>59</v>
      </c>
      <c r="Y378" s="102">
        <v>59</v>
      </c>
      <c r="Z378" s="182">
        <v>77</v>
      </c>
    </row>
    <row r="379" spans="1:26" x14ac:dyDescent="0.4">
      <c r="B379" s="170">
        <v>0.01</v>
      </c>
      <c r="C379" s="171">
        <v>0.01</v>
      </c>
      <c r="D379" s="171">
        <v>0.01</v>
      </c>
      <c r="E379" s="171">
        <v>0</v>
      </c>
      <c r="F379" s="171">
        <v>0</v>
      </c>
      <c r="G379" s="171">
        <v>0.01</v>
      </c>
      <c r="H379" s="171">
        <v>0.01</v>
      </c>
      <c r="I379" s="171">
        <v>0</v>
      </c>
      <c r="J379" s="171">
        <v>0</v>
      </c>
      <c r="K379" s="171">
        <v>0.01</v>
      </c>
      <c r="L379" s="171">
        <v>0</v>
      </c>
      <c r="M379" s="171">
        <v>0.01</v>
      </c>
      <c r="N379" s="171">
        <v>0</v>
      </c>
      <c r="O379" s="171">
        <v>0</v>
      </c>
      <c r="P379" s="171">
        <v>0</v>
      </c>
      <c r="Q379" s="171">
        <v>0.01</v>
      </c>
      <c r="R379" s="171">
        <v>0.01</v>
      </c>
      <c r="S379" s="171">
        <v>0.01</v>
      </c>
      <c r="T379" s="171">
        <v>0</v>
      </c>
      <c r="U379" s="171">
        <v>0</v>
      </c>
      <c r="V379" s="171">
        <v>0.01</v>
      </c>
      <c r="W379" s="180">
        <v>0</v>
      </c>
      <c r="X379" s="180">
        <v>0.01</v>
      </c>
      <c r="Y379" s="180">
        <v>0.01</v>
      </c>
      <c r="Z379" s="181">
        <v>0.01</v>
      </c>
    </row>
    <row r="380" spans="1:26" x14ac:dyDescent="0.4">
      <c r="A380" s="104" t="s">
        <v>310</v>
      </c>
      <c r="B380" s="169">
        <v>108</v>
      </c>
      <c r="C380" s="87">
        <v>55</v>
      </c>
      <c r="D380" s="87">
        <v>53</v>
      </c>
      <c r="E380" s="87">
        <v>10</v>
      </c>
      <c r="F380" s="87">
        <v>21</v>
      </c>
      <c r="G380" s="87">
        <v>36</v>
      </c>
      <c r="H380" s="87">
        <v>40</v>
      </c>
      <c r="I380" s="87">
        <v>7</v>
      </c>
      <c r="J380" s="87">
        <v>29</v>
      </c>
      <c r="K380" s="87">
        <v>72</v>
      </c>
      <c r="L380" s="87">
        <v>8</v>
      </c>
      <c r="M380" s="87">
        <v>57</v>
      </c>
      <c r="N380" s="87">
        <v>6</v>
      </c>
      <c r="O380" s="87">
        <v>28</v>
      </c>
      <c r="P380" s="87">
        <v>31</v>
      </c>
      <c r="Q380" s="87">
        <v>33</v>
      </c>
      <c r="R380" s="87">
        <v>43</v>
      </c>
      <c r="S380" s="87">
        <v>16</v>
      </c>
      <c r="T380" s="87">
        <v>35</v>
      </c>
      <c r="U380" s="87">
        <v>22</v>
      </c>
      <c r="V380" s="87">
        <v>35</v>
      </c>
      <c r="W380" s="102">
        <v>43</v>
      </c>
      <c r="X380" s="102">
        <v>60</v>
      </c>
      <c r="Y380" s="102">
        <v>32</v>
      </c>
      <c r="Z380" s="182">
        <v>73</v>
      </c>
    </row>
    <row r="381" spans="1:26" x14ac:dyDescent="0.4">
      <c r="B381" s="170">
        <v>0</v>
      </c>
      <c r="C381" s="171">
        <v>0</v>
      </c>
      <c r="D381" s="171">
        <v>0</v>
      </c>
      <c r="E381" s="171">
        <v>0</v>
      </c>
      <c r="F381" s="171">
        <v>0</v>
      </c>
      <c r="G381" s="171">
        <v>0</v>
      </c>
      <c r="H381" s="171">
        <v>0</v>
      </c>
      <c r="I381" s="171">
        <v>0</v>
      </c>
      <c r="J381" s="171">
        <v>0</v>
      </c>
      <c r="K381" s="171">
        <v>0</v>
      </c>
      <c r="L381" s="171">
        <v>0</v>
      </c>
      <c r="M381" s="171">
        <v>0</v>
      </c>
      <c r="N381" s="171">
        <v>0</v>
      </c>
      <c r="O381" s="171">
        <v>0</v>
      </c>
      <c r="P381" s="171">
        <v>0</v>
      </c>
      <c r="Q381" s="171">
        <v>0</v>
      </c>
      <c r="R381" s="171">
        <v>0.01</v>
      </c>
      <c r="S381" s="171">
        <v>0</v>
      </c>
      <c r="T381" s="171">
        <v>0</v>
      </c>
      <c r="U381" s="171">
        <v>0</v>
      </c>
      <c r="V381" s="171">
        <v>0.01</v>
      </c>
      <c r="W381" s="180">
        <v>0</v>
      </c>
      <c r="X381" s="180">
        <v>0.01</v>
      </c>
      <c r="Y381" s="180">
        <v>0</v>
      </c>
      <c r="Z381" s="181">
        <v>0.01</v>
      </c>
    </row>
    <row r="382" spans="1:26" x14ac:dyDescent="0.4">
      <c r="A382" s="104" t="s">
        <v>311</v>
      </c>
      <c r="B382" s="169">
        <v>58</v>
      </c>
      <c r="C382" s="87">
        <v>29</v>
      </c>
      <c r="D382" s="87">
        <v>28</v>
      </c>
      <c r="E382" s="87">
        <v>11</v>
      </c>
      <c r="F382" s="87">
        <v>22</v>
      </c>
      <c r="G382" s="87">
        <v>15</v>
      </c>
      <c r="H382" s="87">
        <v>10</v>
      </c>
      <c r="I382" s="87">
        <v>4</v>
      </c>
      <c r="J382" s="87">
        <v>19</v>
      </c>
      <c r="K382" s="87">
        <v>35</v>
      </c>
      <c r="L382" s="87">
        <v>4</v>
      </c>
      <c r="M382" s="87">
        <v>42</v>
      </c>
      <c r="N382" s="87">
        <v>2</v>
      </c>
      <c r="O382" s="87">
        <v>7</v>
      </c>
      <c r="P382" s="87">
        <v>35</v>
      </c>
      <c r="Q382" s="87">
        <v>13</v>
      </c>
      <c r="R382" s="87">
        <v>8</v>
      </c>
      <c r="S382" s="87">
        <v>17</v>
      </c>
      <c r="T382" s="87">
        <v>13</v>
      </c>
      <c r="U382" s="87">
        <v>7</v>
      </c>
      <c r="V382" s="87">
        <v>21</v>
      </c>
      <c r="W382" s="102">
        <v>37</v>
      </c>
      <c r="X382" s="102">
        <v>20</v>
      </c>
      <c r="Y382" s="102">
        <v>19</v>
      </c>
      <c r="Z382" s="182">
        <v>33</v>
      </c>
    </row>
    <row r="383" spans="1:26" x14ac:dyDescent="0.4">
      <c r="B383" s="170">
        <v>0</v>
      </c>
      <c r="C383" s="171">
        <v>0</v>
      </c>
      <c r="D383" s="171">
        <v>0</v>
      </c>
      <c r="E383" s="171">
        <v>0</v>
      </c>
      <c r="F383" s="171">
        <v>0</v>
      </c>
      <c r="G383" s="171">
        <v>0</v>
      </c>
      <c r="H383" s="171">
        <v>0</v>
      </c>
      <c r="I383" s="171">
        <v>0</v>
      </c>
      <c r="J383" s="171">
        <v>0</v>
      </c>
      <c r="K383" s="171">
        <v>0</v>
      </c>
      <c r="L383" s="171">
        <v>0</v>
      </c>
      <c r="M383" s="171">
        <v>0</v>
      </c>
      <c r="N383" s="171">
        <v>0</v>
      </c>
      <c r="O383" s="171">
        <v>0</v>
      </c>
      <c r="P383" s="171">
        <v>0</v>
      </c>
      <c r="Q383" s="171">
        <v>0</v>
      </c>
      <c r="R383" s="171">
        <v>0</v>
      </c>
      <c r="S383" s="171">
        <v>0</v>
      </c>
      <c r="T383" s="171">
        <v>0</v>
      </c>
      <c r="U383" s="171">
        <v>0</v>
      </c>
      <c r="V383" s="171">
        <v>0</v>
      </c>
      <c r="W383" s="180">
        <v>0</v>
      </c>
      <c r="X383" s="180">
        <v>0</v>
      </c>
      <c r="Y383" s="180">
        <v>0</v>
      </c>
      <c r="Z383" s="181">
        <v>0</v>
      </c>
    </row>
    <row r="384" spans="1:26" x14ac:dyDescent="0.4">
      <c r="A384" s="104" t="s">
        <v>312</v>
      </c>
      <c r="B384" s="169">
        <v>133</v>
      </c>
      <c r="C384" s="87">
        <v>61</v>
      </c>
      <c r="D384" s="87">
        <v>72</v>
      </c>
      <c r="E384" s="87">
        <v>13</v>
      </c>
      <c r="F384" s="87">
        <v>38</v>
      </c>
      <c r="G384" s="87">
        <v>39</v>
      </c>
      <c r="H384" s="87">
        <v>43</v>
      </c>
      <c r="I384" s="87">
        <v>12</v>
      </c>
      <c r="J384" s="87">
        <v>63</v>
      </c>
      <c r="K384" s="87">
        <v>58</v>
      </c>
      <c r="L384" s="87">
        <v>12</v>
      </c>
      <c r="M384" s="87">
        <v>74</v>
      </c>
      <c r="N384" s="87">
        <v>6</v>
      </c>
      <c r="O384" s="87">
        <v>32</v>
      </c>
      <c r="P384" s="87">
        <v>14</v>
      </c>
      <c r="Q384" s="87">
        <v>53</v>
      </c>
      <c r="R384" s="87">
        <v>67</v>
      </c>
      <c r="S384" s="87">
        <v>28</v>
      </c>
      <c r="T384" s="87">
        <v>46</v>
      </c>
      <c r="U384" s="87">
        <v>22</v>
      </c>
      <c r="V384" s="87">
        <v>38</v>
      </c>
      <c r="W384" s="102">
        <v>80</v>
      </c>
      <c r="X384" s="102">
        <v>44</v>
      </c>
      <c r="Y384" s="102">
        <v>47</v>
      </c>
      <c r="Z384" s="182">
        <v>73</v>
      </c>
    </row>
    <row r="385" spans="1:26" x14ac:dyDescent="0.4">
      <c r="B385" s="170">
        <v>0</v>
      </c>
      <c r="C385" s="171">
        <v>0</v>
      </c>
      <c r="D385" s="171">
        <v>0.01</v>
      </c>
      <c r="E385" s="171">
        <v>0</v>
      </c>
      <c r="F385" s="171">
        <v>0.01</v>
      </c>
      <c r="G385" s="171">
        <v>0.01</v>
      </c>
      <c r="H385" s="171">
        <v>0.01</v>
      </c>
      <c r="I385" s="171">
        <v>0</v>
      </c>
      <c r="J385" s="171">
        <v>0.01</v>
      </c>
      <c r="K385" s="171">
        <v>0</v>
      </c>
      <c r="L385" s="171">
        <v>0</v>
      </c>
      <c r="M385" s="171">
        <v>0.01</v>
      </c>
      <c r="N385" s="171">
        <v>0</v>
      </c>
      <c r="O385" s="171">
        <v>0</v>
      </c>
      <c r="P385" s="171">
        <v>0</v>
      </c>
      <c r="Q385" s="171">
        <v>0.01</v>
      </c>
      <c r="R385" s="171">
        <v>0.01</v>
      </c>
      <c r="S385" s="171">
        <v>0</v>
      </c>
      <c r="T385" s="171">
        <v>0</v>
      </c>
      <c r="U385" s="171">
        <v>0.01</v>
      </c>
      <c r="V385" s="171">
        <v>0.01</v>
      </c>
      <c r="W385" s="180">
        <v>0</v>
      </c>
      <c r="X385" s="180">
        <v>0.01</v>
      </c>
      <c r="Y385" s="180">
        <v>0</v>
      </c>
      <c r="Z385" s="181">
        <v>0.01</v>
      </c>
    </row>
    <row r="386" spans="1:26" x14ac:dyDescent="0.4">
      <c r="A386" s="104" t="s">
        <v>313</v>
      </c>
      <c r="B386" s="169">
        <v>109</v>
      </c>
      <c r="C386" s="87">
        <v>59</v>
      </c>
      <c r="D386" s="87">
        <v>51</v>
      </c>
      <c r="E386" s="87">
        <v>20</v>
      </c>
      <c r="F386" s="87">
        <v>30</v>
      </c>
      <c r="G386" s="87">
        <v>33</v>
      </c>
      <c r="H386" s="87">
        <v>26</v>
      </c>
      <c r="I386" s="87">
        <v>9</v>
      </c>
      <c r="J386" s="87">
        <v>45</v>
      </c>
      <c r="K386" s="87">
        <v>56</v>
      </c>
      <c r="L386" s="87">
        <v>9</v>
      </c>
      <c r="M386" s="87">
        <v>53</v>
      </c>
      <c r="N386" s="87">
        <v>13</v>
      </c>
      <c r="O386" s="87">
        <v>26</v>
      </c>
      <c r="P386" s="87">
        <v>12</v>
      </c>
      <c r="Q386" s="87">
        <v>45</v>
      </c>
      <c r="R386" s="87">
        <v>50</v>
      </c>
      <c r="S386" s="87">
        <v>29</v>
      </c>
      <c r="T386" s="87">
        <v>24</v>
      </c>
      <c r="U386" s="87">
        <v>18</v>
      </c>
      <c r="V386" s="87">
        <v>39</v>
      </c>
      <c r="W386" s="102">
        <v>63</v>
      </c>
      <c r="X386" s="102">
        <v>40</v>
      </c>
      <c r="Y386" s="102">
        <v>39</v>
      </c>
      <c r="Z386" s="182">
        <v>57</v>
      </c>
    </row>
    <row r="387" spans="1:26" x14ac:dyDescent="0.4">
      <c r="B387" s="170">
        <v>0</v>
      </c>
      <c r="C387" s="171">
        <v>0</v>
      </c>
      <c r="D387" s="171">
        <v>0</v>
      </c>
      <c r="E387" s="171">
        <v>0.01</v>
      </c>
      <c r="F387" s="171">
        <v>0</v>
      </c>
      <c r="G387" s="171">
        <v>0</v>
      </c>
      <c r="H387" s="171">
        <v>0</v>
      </c>
      <c r="I387" s="171">
        <v>0</v>
      </c>
      <c r="J387" s="171">
        <v>0.01</v>
      </c>
      <c r="K387" s="171">
        <v>0</v>
      </c>
      <c r="L387" s="171">
        <v>0</v>
      </c>
      <c r="M387" s="171">
        <v>0</v>
      </c>
      <c r="N387" s="171">
        <v>0</v>
      </c>
      <c r="O387" s="171">
        <v>0</v>
      </c>
      <c r="P387" s="171">
        <v>0</v>
      </c>
      <c r="Q387" s="171">
        <v>0</v>
      </c>
      <c r="R387" s="171">
        <v>0.01</v>
      </c>
      <c r="S387" s="171">
        <v>0</v>
      </c>
      <c r="T387" s="171">
        <v>0</v>
      </c>
      <c r="U387" s="171">
        <v>0</v>
      </c>
      <c r="V387" s="171">
        <v>0.01</v>
      </c>
      <c r="W387" s="180">
        <v>0</v>
      </c>
      <c r="X387" s="180">
        <v>0</v>
      </c>
      <c r="Y387" s="180">
        <v>0</v>
      </c>
      <c r="Z387" s="181">
        <v>0</v>
      </c>
    </row>
    <row r="388" spans="1:26" x14ac:dyDescent="0.4">
      <c r="A388" s="104" t="s">
        <v>314</v>
      </c>
      <c r="B388" s="169">
        <v>124</v>
      </c>
      <c r="C388" s="87">
        <v>58</v>
      </c>
      <c r="D388" s="87">
        <v>64</v>
      </c>
      <c r="E388" s="87">
        <v>17</v>
      </c>
      <c r="F388" s="87">
        <v>35</v>
      </c>
      <c r="G388" s="87">
        <v>34</v>
      </c>
      <c r="H388" s="87">
        <v>38</v>
      </c>
      <c r="I388" s="87">
        <v>9</v>
      </c>
      <c r="J388" s="87">
        <v>55</v>
      </c>
      <c r="K388" s="87">
        <v>60</v>
      </c>
      <c r="L388" s="87">
        <v>11</v>
      </c>
      <c r="M388" s="87">
        <v>56</v>
      </c>
      <c r="N388" s="87">
        <v>11</v>
      </c>
      <c r="O388" s="87">
        <v>37</v>
      </c>
      <c r="P388" s="87">
        <v>32</v>
      </c>
      <c r="Q388" s="87">
        <v>33</v>
      </c>
      <c r="R388" s="87">
        <v>57</v>
      </c>
      <c r="S388" s="87">
        <v>22</v>
      </c>
      <c r="T388" s="87">
        <v>39</v>
      </c>
      <c r="U388" s="87">
        <v>24</v>
      </c>
      <c r="V388" s="87">
        <v>39</v>
      </c>
      <c r="W388" s="102">
        <v>75</v>
      </c>
      <c r="X388" s="102">
        <v>36</v>
      </c>
      <c r="Y388" s="102">
        <v>50</v>
      </c>
      <c r="Z388" s="182">
        <v>59</v>
      </c>
    </row>
    <row r="389" spans="1:26" x14ac:dyDescent="0.4">
      <c r="B389" s="170">
        <v>0</v>
      </c>
      <c r="C389" s="171">
        <v>0</v>
      </c>
      <c r="D389" s="171">
        <v>0</v>
      </c>
      <c r="E389" s="171">
        <v>0</v>
      </c>
      <c r="F389" s="171">
        <v>0</v>
      </c>
      <c r="G389" s="171">
        <v>0</v>
      </c>
      <c r="H389" s="171">
        <v>0</v>
      </c>
      <c r="I389" s="171">
        <v>0</v>
      </c>
      <c r="J389" s="171">
        <v>0.01</v>
      </c>
      <c r="K389" s="171">
        <v>0</v>
      </c>
      <c r="L389" s="171">
        <v>0</v>
      </c>
      <c r="M389" s="171">
        <v>0</v>
      </c>
      <c r="N389" s="171">
        <v>0</v>
      </c>
      <c r="O389" s="171">
        <v>0.01</v>
      </c>
      <c r="P389" s="171">
        <v>0</v>
      </c>
      <c r="Q389" s="171">
        <v>0</v>
      </c>
      <c r="R389" s="171">
        <v>0.01</v>
      </c>
      <c r="S389" s="171">
        <v>0</v>
      </c>
      <c r="T389" s="171">
        <v>0</v>
      </c>
      <c r="U389" s="171">
        <v>0.01</v>
      </c>
      <c r="V389" s="171">
        <v>0.01</v>
      </c>
      <c r="W389" s="180">
        <v>0</v>
      </c>
      <c r="X389" s="180">
        <v>0</v>
      </c>
      <c r="Y389" s="180">
        <v>0</v>
      </c>
      <c r="Z389" s="181">
        <v>0</v>
      </c>
    </row>
    <row r="390" spans="1:26" x14ac:dyDescent="0.4">
      <c r="A390" s="104" t="s">
        <v>55</v>
      </c>
      <c r="B390" s="169">
        <v>577</v>
      </c>
      <c r="C390" s="87">
        <v>276</v>
      </c>
      <c r="D390" s="87">
        <v>290</v>
      </c>
      <c r="E390" s="87">
        <v>143</v>
      </c>
      <c r="F390" s="87">
        <v>306</v>
      </c>
      <c r="G390" s="87">
        <v>87</v>
      </c>
      <c r="H390" s="87">
        <v>41</v>
      </c>
      <c r="I390" s="87">
        <v>174</v>
      </c>
      <c r="J390" s="87">
        <v>94</v>
      </c>
      <c r="K390" s="87">
        <v>309</v>
      </c>
      <c r="L390" s="87">
        <v>53</v>
      </c>
      <c r="M390" s="87">
        <v>268</v>
      </c>
      <c r="N390" s="87">
        <v>111</v>
      </c>
      <c r="O390" s="87">
        <v>106</v>
      </c>
      <c r="P390" s="87">
        <v>216</v>
      </c>
      <c r="Q390" s="87">
        <v>195</v>
      </c>
      <c r="R390" s="87">
        <v>139</v>
      </c>
      <c r="S390" s="87">
        <v>82</v>
      </c>
      <c r="T390" s="87">
        <v>165</v>
      </c>
      <c r="U390" s="87">
        <v>93</v>
      </c>
      <c r="V390" s="87">
        <v>237</v>
      </c>
      <c r="W390" s="102">
        <v>367</v>
      </c>
      <c r="X390" s="102">
        <v>153</v>
      </c>
      <c r="Y390" s="102">
        <v>262</v>
      </c>
      <c r="Z390" s="182">
        <v>251</v>
      </c>
    </row>
    <row r="391" spans="1:26" x14ac:dyDescent="0.4">
      <c r="B391" s="170">
        <v>0.02</v>
      </c>
      <c r="C391" s="171">
        <v>0.02</v>
      </c>
      <c r="D391" s="171">
        <v>0.02</v>
      </c>
      <c r="E391" s="171">
        <v>0.04</v>
      </c>
      <c r="F391" s="171">
        <v>0.04</v>
      </c>
      <c r="G391" s="171">
        <v>0.01</v>
      </c>
      <c r="H391" s="171">
        <v>0.01</v>
      </c>
      <c r="I391" s="171">
        <v>0.05</v>
      </c>
      <c r="J391" s="171">
        <v>0.01</v>
      </c>
      <c r="K391" s="171">
        <v>0.02</v>
      </c>
      <c r="L391" s="171">
        <v>0.02</v>
      </c>
      <c r="M391" s="171">
        <v>0.02</v>
      </c>
      <c r="N391" s="171">
        <v>0.04</v>
      </c>
      <c r="O391" s="171">
        <v>0.02</v>
      </c>
      <c r="P391" s="171">
        <v>0.02</v>
      </c>
      <c r="Q391" s="171">
        <v>0.02</v>
      </c>
      <c r="R391" s="171">
        <v>0.02</v>
      </c>
      <c r="S391" s="171">
        <v>0.01</v>
      </c>
      <c r="T391" s="171">
        <v>0.02</v>
      </c>
      <c r="U391" s="171">
        <v>0.02</v>
      </c>
      <c r="V391" s="171">
        <v>0.04</v>
      </c>
      <c r="W391" s="180">
        <v>0.02</v>
      </c>
      <c r="X391" s="180">
        <v>0.02</v>
      </c>
      <c r="Y391" s="180">
        <v>0.02</v>
      </c>
      <c r="Z391" s="181">
        <v>0.02</v>
      </c>
    </row>
  </sheetData>
  <mergeCells count="16">
    <mergeCell ref="A28:A29"/>
    <mergeCell ref="A18:A19"/>
    <mergeCell ref="A20:A21"/>
    <mergeCell ref="A22:A23"/>
    <mergeCell ref="A24:A25"/>
    <mergeCell ref="A26:A27"/>
    <mergeCell ref="S10:V10"/>
    <mergeCell ref="W10:X10"/>
    <mergeCell ref="Y10:Z10"/>
    <mergeCell ref="A10:A11"/>
    <mergeCell ref="A16:A17"/>
    <mergeCell ref="C10:D10"/>
    <mergeCell ref="E10:H10"/>
    <mergeCell ref="I10:K10"/>
    <mergeCell ref="L10:O10"/>
    <mergeCell ref="P10:R10"/>
  </mergeCells>
  <pageMargins left="0.7" right="0.7" top="0.75" bottom="0.75" header="0.511811023622047" footer="0.511811023622047"/>
  <pageSetup paperSize="9" orientation="portrait" useFirstPageNumber="1" horizontalDpi="300" verticalDpi="30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Feuil18"/>
  <dimension ref="A1:Z119"/>
  <sheetViews>
    <sheetView showGridLines="0" zoomScale="60" zoomScaleNormal="60" workbookViewId="0">
      <selection activeCell="A6" sqref="A6:XFD6"/>
    </sheetView>
  </sheetViews>
  <sheetFormatPr defaultColWidth="20.6328125" defaultRowHeight="19" customHeight="1" x14ac:dyDescent="0.35"/>
  <cols>
    <col min="1" max="1" width="100.6328125" style="104" customWidth="1"/>
    <col min="2" max="2" width="20.6328125" style="88" customWidth="1"/>
    <col min="3" max="16384" width="20.6328125" style="87"/>
  </cols>
  <sheetData>
    <row r="1" spans="1:26" x14ac:dyDescent="0.35">
      <c r="A1" s="183" t="s">
        <v>89</v>
      </c>
    </row>
    <row r="2" spans="1:26" x14ac:dyDescent="0.35">
      <c r="A2" s="104" t="s">
        <v>315</v>
      </c>
    </row>
    <row r="3" spans="1:26" s="88" customFormat="1" x14ac:dyDescent="0.35">
      <c r="A3" s="105" t="s">
        <v>316</v>
      </c>
    </row>
    <row r="4" spans="1:26" x14ac:dyDescent="0.35">
      <c r="A4" s="105" t="s">
        <v>317</v>
      </c>
    </row>
    <row r="6" spans="1:26" s="88" customFormat="1" ht="19" customHeight="1" x14ac:dyDescent="0.35">
      <c r="A6" s="122"/>
    </row>
    <row r="7" spans="1:26" x14ac:dyDescent="0.35">
      <c r="A7" s="184" t="s">
        <v>318</v>
      </c>
      <c r="B7" s="87"/>
    </row>
    <row r="8" spans="1:26" x14ac:dyDescent="0.35">
      <c r="A8" s="184" t="s">
        <v>7</v>
      </c>
    </row>
    <row r="9" spans="1:26" ht="19" customHeight="1" thickBot="1" x14ac:dyDescent="0.4">
      <c r="C9" s="107"/>
    </row>
    <row r="10" spans="1:26" s="89" customFormat="1" ht="57" customHeight="1" thickBot="1" x14ac:dyDescent="0.4">
      <c r="A10" s="241"/>
      <c r="B10" s="108" t="s">
        <v>319</v>
      </c>
      <c r="C10" s="245" t="s">
        <v>320</v>
      </c>
      <c r="D10" s="237"/>
      <c r="E10" s="237"/>
      <c r="F10" s="237" t="s">
        <v>321</v>
      </c>
      <c r="G10" s="237"/>
      <c r="H10" s="237"/>
      <c r="I10" s="237"/>
      <c r="J10" s="237" t="s">
        <v>322</v>
      </c>
      <c r="K10" s="237"/>
      <c r="L10" s="237"/>
      <c r="M10" s="237"/>
      <c r="N10" s="237" t="s">
        <v>323</v>
      </c>
      <c r="O10" s="237"/>
      <c r="P10" s="237"/>
      <c r="Q10" s="237"/>
      <c r="R10" s="237" t="s">
        <v>324</v>
      </c>
      <c r="S10" s="237"/>
      <c r="T10" s="237" t="s">
        <v>325</v>
      </c>
      <c r="U10" s="238"/>
      <c r="V10" s="239" t="s">
        <v>326</v>
      </c>
      <c r="W10" s="237"/>
      <c r="X10" s="237"/>
      <c r="Y10" s="237"/>
      <c r="Z10" s="240"/>
    </row>
    <row r="11" spans="1:26" s="129" customFormat="1" ht="18.75" customHeight="1" thickBot="1" x14ac:dyDescent="0.4">
      <c r="A11" s="242"/>
      <c r="B11" s="185" t="e">
        <f>#VALUE!</f>
        <v>#VALUE!</v>
      </c>
      <c r="C11" s="129" t="s">
        <v>327</v>
      </c>
      <c r="D11" s="132" t="s">
        <v>328</v>
      </c>
      <c r="E11" s="131" t="s">
        <v>329</v>
      </c>
      <c r="F11" s="132" t="s">
        <v>330</v>
      </c>
      <c r="G11" s="132" t="s">
        <v>331</v>
      </c>
      <c r="H11" s="132" t="s">
        <v>332</v>
      </c>
      <c r="I11" s="131" t="s">
        <v>333</v>
      </c>
      <c r="J11" s="132" t="s">
        <v>334</v>
      </c>
      <c r="K11" s="132" t="s">
        <v>335</v>
      </c>
      <c r="L11" s="132" t="s">
        <v>336</v>
      </c>
      <c r="M11" s="131" t="s">
        <v>337</v>
      </c>
      <c r="N11" s="132" t="s">
        <v>338</v>
      </c>
      <c r="O11" s="132" t="s">
        <v>339</v>
      </c>
      <c r="P11" s="132" t="s">
        <v>340</v>
      </c>
      <c r="Q11" s="131" t="s">
        <v>341</v>
      </c>
      <c r="R11" s="132" t="s">
        <v>125</v>
      </c>
      <c r="S11" s="131" t="s">
        <v>126</v>
      </c>
      <c r="T11" s="132" t="s">
        <v>125</v>
      </c>
      <c r="U11" s="131" t="s">
        <v>126</v>
      </c>
      <c r="V11" s="132" t="s">
        <v>342</v>
      </c>
      <c r="W11" s="132" t="s">
        <v>343</v>
      </c>
      <c r="X11" s="132" t="s">
        <v>344</v>
      </c>
      <c r="Y11" s="132" t="s">
        <v>345</v>
      </c>
      <c r="Z11" s="133" t="s">
        <v>346</v>
      </c>
    </row>
    <row r="12" spans="1:26" s="129" customFormat="1" ht="18.75" customHeight="1" x14ac:dyDescent="0.35">
      <c r="A12" s="130"/>
      <c r="B12" s="186"/>
      <c r="C12" s="127"/>
      <c r="E12" s="128"/>
      <c r="I12" s="128"/>
      <c r="M12" s="128"/>
      <c r="Q12" s="128"/>
      <c r="S12" s="128"/>
      <c r="U12" s="128"/>
      <c r="Z12" s="128"/>
    </row>
    <row r="13" spans="1:26" s="93" customFormat="1" ht="21" customHeight="1" x14ac:dyDescent="0.35">
      <c r="A13" s="134" t="s">
        <v>49</v>
      </c>
      <c r="B13" s="4"/>
      <c r="C13" s="202"/>
      <c r="E13" s="203"/>
      <c r="I13" s="203"/>
      <c r="M13" s="203"/>
      <c r="Q13" s="203"/>
      <c r="S13" s="203"/>
      <c r="U13" s="203"/>
      <c r="Z13" s="203"/>
    </row>
    <row r="14" spans="1:26" ht="24" customHeight="1" x14ac:dyDescent="0.35">
      <c r="A14" s="112" t="s">
        <v>50</v>
      </c>
      <c r="B14" s="146">
        <v>500</v>
      </c>
      <c r="C14" s="88">
        <v>436</v>
      </c>
      <c r="D14" s="88">
        <v>59</v>
      </c>
      <c r="E14" s="113">
        <v>5</v>
      </c>
      <c r="F14" s="88">
        <v>55</v>
      </c>
      <c r="G14" s="88">
        <v>75</v>
      </c>
      <c r="H14" s="88">
        <v>80</v>
      </c>
      <c r="I14" s="113">
        <v>290</v>
      </c>
      <c r="J14" s="88">
        <v>77</v>
      </c>
      <c r="K14" s="88">
        <v>199</v>
      </c>
      <c r="L14" s="88">
        <v>143</v>
      </c>
      <c r="M14" s="113">
        <v>1</v>
      </c>
      <c r="N14" s="88">
        <v>0</v>
      </c>
      <c r="O14" s="88">
        <v>7</v>
      </c>
      <c r="P14" s="88">
        <v>25</v>
      </c>
      <c r="Q14" s="113">
        <v>466</v>
      </c>
      <c r="R14" s="88">
        <v>278</v>
      </c>
      <c r="S14" s="113">
        <v>222</v>
      </c>
      <c r="T14" s="88">
        <v>229</v>
      </c>
      <c r="U14" s="113">
        <v>246</v>
      </c>
      <c r="V14" s="88">
        <v>72</v>
      </c>
      <c r="W14" s="88">
        <v>96</v>
      </c>
      <c r="X14" s="88">
        <v>90</v>
      </c>
      <c r="Y14" s="88">
        <v>50</v>
      </c>
      <c r="Z14" s="114">
        <v>193</v>
      </c>
    </row>
    <row r="15" spans="1:26" s="93" customFormat="1" ht="21" customHeight="1" x14ac:dyDescent="0.35">
      <c r="A15" s="138"/>
      <c r="B15" s="4"/>
      <c r="C15" s="204"/>
      <c r="D15" s="135"/>
      <c r="E15" s="136"/>
      <c r="F15" s="135"/>
      <c r="G15" s="135"/>
      <c r="H15" s="135"/>
      <c r="I15" s="136"/>
      <c r="J15" s="135"/>
      <c r="K15" s="135"/>
      <c r="L15" s="135"/>
      <c r="M15" s="136"/>
      <c r="N15" s="135"/>
      <c r="O15" s="135"/>
      <c r="P15" s="135"/>
      <c r="Q15" s="136"/>
      <c r="R15" s="135"/>
      <c r="S15" s="136"/>
      <c r="T15" s="135"/>
      <c r="U15" s="136"/>
      <c r="V15" s="135"/>
      <c r="W15" s="135"/>
      <c r="X15" s="135"/>
      <c r="Y15" s="135"/>
      <c r="Z15" s="136"/>
    </row>
    <row r="16" spans="1:26" ht="24" customHeight="1" x14ac:dyDescent="0.35">
      <c r="A16" s="235" t="s">
        <v>347</v>
      </c>
      <c r="B16" s="146">
        <v>77</v>
      </c>
      <c r="C16" s="87">
        <v>69</v>
      </c>
      <c r="D16" s="87">
        <v>7</v>
      </c>
      <c r="E16" s="120">
        <v>1</v>
      </c>
      <c r="F16" s="87">
        <v>12</v>
      </c>
      <c r="G16" s="87">
        <v>11</v>
      </c>
      <c r="H16" s="87">
        <v>16</v>
      </c>
      <c r="I16" s="120">
        <v>39</v>
      </c>
      <c r="J16" s="87">
        <v>5</v>
      </c>
      <c r="K16" s="87">
        <v>33</v>
      </c>
      <c r="L16" s="87">
        <v>35</v>
      </c>
      <c r="M16" s="120">
        <v>0</v>
      </c>
      <c r="N16" s="87">
        <v>0</v>
      </c>
      <c r="O16" s="87">
        <v>0</v>
      </c>
      <c r="P16" s="87">
        <v>2</v>
      </c>
      <c r="Q16" s="120">
        <v>74</v>
      </c>
      <c r="R16" s="87">
        <v>33</v>
      </c>
      <c r="S16" s="120">
        <v>44</v>
      </c>
      <c r="T16" s="87">
        <v>44</v>
      </c>
      <c r="U16" s="120">
        <v>33</v>
      </c>
      <c r="V16" s="87">
        <v>6</v>
      </c>
      <c r="W16" s="87">
        <v>21</v>
      </c>
      <c r="X16" s="87">
        <v>15</v>
      </c>
      <c r="Y16" s="87">
        <v>8</v>
      </c>
      <c r="Z16" s="121">
        <v>28</v>
      </c>
    </row>
    <row r="17" spans="1:26" s="93" customFormat="1" ht="21" customHeight="1" x14ac:dyDescent="0.35">
      <c r="A17" s="236"/>
      <c r="B17" s="148">
        <v>0.15</v>
      </c>
      <c r="C17" s="140">
        <v>0.16</v>
      </c>
      <c r="D17" s="140">
        <v>0.12</v>
      </c>
      <c r="E17" s="141">
        <v>0.19</v>
      </c>
      <c r="F17" s="140">
        <v>0.22</v>
      </c>
      <c r="G17" s="140">
        <v>0.14000000000000001</v>
      </c>
      <c r="H17" s="140">
        <v>0.2</v>
      </c>
      <c r="I17" s="141">
        <v>0.13</v>
      </c>
      <c r="J17" s="140">
        <v>0.06</v>
      </c>
      <c r="K17" s="140">
        <v>0.17</v>
      </c>
      <c r="L17" s="140">
        <v>0.24</v>
      </c>
      <c r="M17" s="141">
        <v>0</v>
      </c>
      <c r="N17" s="140">
        <v>0</v>
      </c>
      <c r="O17" s="140">
        <v>0.04</v>
      </c>
      <c r="P17" s="140">
        <v>0.1</v>
      </c>
      <c r="Q17" s="141">
        <v>0.16</v>
      </c>
      <c r="R17" s="140">
        <v>0.12</v>
      </c>
      <c r="S17" s="141">
        <v>0.2</v>
      </c>
      <c r="T17" s="140">
        <v>0.19</v>
      </c>
      <c r="U17" s="141">
        <v>0.14000000000000001</v>
      </c>
      <c r="V17" s="140">
        <v>0.08</v>
      </c>
      <c r="W17" s="140">
        <v>0.22</v>
      </c>
      <c r="X17" s="140">
        <v>0.16</v>
      </c>
      <c r="Y17" s="140">
        <v>0.16</v>
      </c>
      <c r="Z17" s="142">
        <v>0.15</v>
      </c>
    </row>
    <row r="18" spans="1:26" ht="24" customHeight="1" x14ac:dyDescent="0.35">
      <c r="A18" s="235" t="s">
        <v>348</v>
      </c>
      <c r="B18" s="146">
        <v>87</v>
      </c>
      <c r="C18" s="87">
        <v>79</v>
      </c>
      <c r="D18" s="87">
        <v>7</v>
      </c>
      <c r="E18" s="120">
        <v>1</v>
      </c>
      <c r="F18" s="87">
        <v>12</v>
      </c>
      <c r="G18" s="87">
        <v>11</v>
      </c>
      <c r="H18" s="87">
        <v>13</v>
      </c>
      <c r="I18" s="120">
        <v>51</v>
      </c>
      <c r="J18" s="87">
        <v>8</v>
      </c>
      <c r="K18" s="87">
        <v>48</v>
      </c>
      <c r="L18" s="87">
        <v>26</v>
      </c>
      <c r="M18" s="120">
        <v>0</v>
      </c>
      <c r="N18" s="87">
        <v>0</v>
      </c>
      <c r="O18" s="87">
        <v>1</v>
      </c>
      <c r="P18" s="87">
        <v>6</v>
      </c>
      <c r="Q18" s="120">
        <v>81</v>
      </c>
      <c r="R18" s="87">
        <v>56</v>
      </c>
      <c r="S18" s="120">
        <v>32</v>
      </c>
      <c r="T18" s="87">
        <v>52</v>
      </c>
      <c r="U18" s="120">
        <v>33</v>
      </c>
      <c r="V18" s="87">
        <v>13</v>
      </c>
      <c r="W18" s="87">
        <v>13</v>
      </c>
      <c r="X18" s="87">
        <v>16</v>
      </c>
      <c r="Y18" s="87">
        <v>10</v>
      </c>
      <c r="Z18" s="121">
        <v>34</v>
      </c>
    </row>
    <row r="19" spans="1:26" s="93" customFormat="1" ht="21" customHeight="1" x14ac:dyDescent="0.35">
      <c r="A19" s="236"/>
      <c r="B19" s="148">
        <v>0.17</v>
      </c>
      <c r="C19" s="140">
        <v>0.18</v>
      </c>
      <c r="D19" s="140">
        <v>0.12</v>
      </c>
      <c r="E19" s="141">
        <v>0.2</v>
      </c>
      <c r="F19" s="140">
        <v>0.22</v>
      </c>
      <c r="G19" s="140">
        <v>0.14000000000000001</v>
      </c>
      <c r="H19" s="140">
        <v>0.17</v>
      </c>
      <c r="I19" s="141">
        <v>0.18</v>
      </c>
      <c r="J19" s="140">
        <v>0.11</v>
      </c>
      <c r="K19" s="140">
        <v>0.24</v>
      </c>
      <c r="L19" s="140">
        <v>0.18</v>
      </c>
      <c r="M19" s="141">
        <v>0.04</v>
      </c>
      <c r="N19" s="140">
        <v>0</v>
      </c>
      <c r="O19" s="140">
        <v>0.13</v>
      </c>
      <c r="P19" s="140">
        <v>0.22</v>
      </c>
      <c r="Q19" s="141">
        <v>0.17</v>
      </c>
      <c r="R19" s="140">
        <v>0.2</v>
      </c>
      <c r="S19" s="141">
        <v>0.14000000000000001</v>
      </c>
      <c r="T19" s="140">
        <v>0.23</v>
      </c>
      <c r="U19" s="141">
        <v>0.13</v>
      </c>
      <c r="V19" s="140">
        <v>0.19</v>
      </c>
      <c r="W19" s="140">
        <v>0.14000000000000001</v>
      </c>
      <c r="X19" s="140">
        <v>0.18</v>
      </c>
      <c r="Y19" s="140">
        <v>0.2</v>
      </c>
      <c r="Z19" s="142">
        <v>0.18</v>
      </c>
    </row>
    <row r="20" spans="1:26" ht="24" customHeight="1" x14ac:dyDescent="0.35">
      <c r="A20" s="235" t="s">
        <v>349</v>
      </c>
      <c r="B20" s="146">
        <v>81</v>
      </c>
      <c r="C20" s="87">
        <v>67</v>
      </c>
      <c r="D20" s="87">
        <v>14</v>
      </c>
      <c r="E20" s="120">
        <v>1</v>
      </c>
      <c r="F20" s="87">
        <v>12</v>
      </c>
      <c r="G20" s="87">
        <v>12</v>
      </c>
      <c r="H20" s="87">
        <v>13</v>
      </c>
      <c r="I20" s="120">
        <v>44</v>
      </c>
      <c r="J20" s="87">
        <v>16</v>
      </c>
      <c r="K20" s="87">
        <v>35</v>
      </c>
      <c r="L20" s="87">
        <v>20</v>
      </c>
      <c r="M20" s="120">
        <v>0</v>
      </c>
      <c r="N20" s="87">
        <v>0</v>
      </c>
      <c r="O20" s="87">
        <v>0</v>
      </c>
      <c r="P20" s="87">
        <v>3</v>
      </c>
      <c r="Q20" s="120">
        <v>76</v>
      </c>
      <c r="R20" s="87">
        <v>44</v>
      </c>
      <c r="S20" s="120">
        <v>37</v>
      </c>
      <c r="T20" s="87">
        <v>37</v>
      </c>
      <c r="U20" s="120">
        <v>42</v>
      </c>
      <c r="V20" s="87">
        <v>8</v>
      </c>
      <c r="W20" s="87">
        <v>14</v>
      </c>
      <c r="X20" s="87">
        <v>13</v>
      </c>
      <c r="Y20" s="87">
        <v>10</v>
      </c>
      <c r="Z20" s="121">
        <v>36</v>
      </c>
    </row>
    <row r="21" spans="1:26" s="93" customFormat="1" ht="21" customHeight="1" x14ac:dyDescent="0.35">
      <c r="A21" s="236"/>
      <c r="B21" s="148">
        <v>0.16</v>
      </c>
      <c r="C21" s="140">
        <v>0.15</v>
      </c>
      <c r="D21" s="140">
        <v>0.23</v>
      </c>
      <c r="E21" s="141">
        <v>0.11</v>
      </c>
      <c r="F21" s="140">
        <v>0.22</v>
      </c>
      <c r="G21" s="140">
        <v>0.17</v>
      </c>
      <c r="H21" s="140">
        <v>0.16</v>
      </c>
      <c r="I21" s="141">
        <v>0.15</v>
      </c>
      <c r="J21" s="140">
        <v>0.2</v>
      </c>
      <c r="K21" s="140">
        <v>0.17</v>
      </c>
      <c r="L21" s="140">
        <v>0.14000000000000001</v>
      </c>
      <c r="M21" s="141">
        <v>0.04</v>
      </c>
      <c r="N21" s="140">
        <v>1</v>
      </c>
      <c r="O21" s="140">
        <v>0.04</v>
      </c>
      <c r="P21" s="140">
        <v>0.12</v>
      </c>
      <c r="Q21" s="141">
        <v>0.16</v>
      </c>
      <c r="R21" s="140">
        <v>0.16</v>
      </c>
      <c r="S21" s="141">
        <v>0.17</v>
      </c>
      <c r="T21" s="140">
        <v>0.16</v>
      </c>
      <c r="U21" s="141">
        <v>0.17</v>
      </c>
      <c r="V21" s="140">
        <v>0.12</v>
      </c>
      <c r="W21" s="140">
        <v>0.15</v>
      </c>
      <c r="X21" s="140">
        <v>0.15</v>
      </c>
      <c r="Y21" s="140">
        <v>0.2</v>
      </c>
      <c r="Z21" s="142">
        <v>0.19</v>
      </c>
    </row>
    <row r="22" spans="1:26" ht="24" customHeight="1" x14ac:dyDescent="0.35">
      <c r="A22" s="235" t="s">
        <v>350</v>
      </c>
      <c r="B22" s="146">
        <v>65</v>
      </c>
      <c r="C22" s="87">
        <v>53</v>
      </c>
      <c r="D22" s="87">
        <v>11</v>
      </c>
      <c r="E22" s="120">
        <v>1</v>
      </c>
      <c r="F22" s="87">
        <v>10</v>
      </c>
      <c r="G22" s="87">
        <v>10</v>
      </c>
      <c r="H22" s="87">
        <v>13</v>
      </c>
      <c r="I22" s="120">
        <v>32</v>
      </c>
      <c r="J22" s="87">
        <v>6</v>
      </c>
      <c r="K22" s="87">
        <v>31</v>
      </c>
      <c r="L22" s="87">
        <v>19</v>
      </c>
      <c r="M22" s="120">
        <v>0</v>
      </c>
      <c r="N22" s="87">
        <v>0</v>
      </c>
      <c r="O22" s="87">
        <v>1</v>
      </c>
      <c r="P22" s="87">
        <v>3</v>
      </c>
      <c r="Q22" s="120">
        <v>61</v>
      </c>
      <c r="R22" s="87">
        <v>39</v>
      </c>
      <c r="S22" s="120">
        <v>25</v>
      </c>
      <c r="T22" s="87">
        <v>42</v>
      </c>
      <c r="U22" s="120">
        <v>22</v>
      </c>
      <c r="V22" s="87">
        <v>13</v>
      </c>
      <c r="W22" s="87">
        <v>13</v>
      </c>
      <c r="X22" s="87">
        <v>16</v>
      </c>
      <c r="Y22" s="87">
        <v>1</v>
      </c>
      <c r="Z22" s="121">
        <v>21</v>
      </c>
    </row>
    <row r="23" spans="1:26" s="93" customFormat="1" ht="21" customHeight="1" x14ac:dyDescent="0.35">
      <c r="A23" s="236"/>
      <c r="B23" s="148">
        <v>0.13</v>
      </c>
      <c r="C23" s="140">
        <v>0.12</v>
      </c>
      <c r="D23" s="140">
        <v>0.19</v>
      </c>
      <c r="E23" s="141">
        <v>0.13</v>
      </c>
      <c r="F23" s="140">
        <v>0.17</v>
      </c>
      <c r="G23" s="140">
        <v>0.13</v>
      </c>
      <c r="H23" s="140">
        <v>0.17</v>
      </c>
      <c r="I23" s="141">
        <v>0.11</v>
      </c>
      <c r="J23" s="140">
        <v>0.08</v>
      </c>
      <c r="K23" s="140">
        <v>0.16</v>
      </c>
      <c r="L23" s="140">
        <v>0.13</v>
      </c>
      <c r="M23" s="141">
        <v>0.04</v>
      </c>
      <c r="N23" s="140">
        <v>1</v>
      </c>
      <c r="O23" s="140">
        <v>0.12</v>
      </c>
      <c r="P23" s="140">
        <v>0.1</v>
      </c>
      <c r="Q23" s="141">
        <v>0.13</v>
      </c>
      <c r="R23" s="140">
        <v>0.14000000000000001</v>
      </c>
      <c r="S23" s="141">
        <v>0.11</v>
      </c>
      <c r="T23" s="140">
        <v>0.18</v>
      </c>
      <c r="U23" s="141">
        <v>0.09</v>
      </c>
      <c r="V23" s="140">
        <v>0.18</v>
      </c>
      <c r="W23" s="140">
        <v>0.14000000000000001</v>
      </c>
      <c r="X23" s="140">
        <v>0.18</v>
      </c>
      <c r="Y23" s="140">
        <v>0.03</v>
      </c>
      <c r="Z23" s="142">
        <v>0.11</v>
      </c>
    </row>
    <row r="24" spans="1:26" ht="24" customHeight="1" x14ac:dyDescent="0.35">
      <c r="A24" s="235" t="s">
        <v>351</v>
      </c>
      <c r="B24" s="146">
        <v>118</v>
      </c>
      <c r="C24" s="87">
        <v>106</v>
      </c>
      <c r="D24" s="87">
        <v>11</v>
      </c>
      <c r="E24" s="120">
        <v>1</v>
      </c>
      <c r="F24" s="87">
        <v>9</v>
      </c>
      <c r="G24" s="87">
        <v>17</v>
      </c>
      <c r="H24" s="87">
        <v>14</v>
      </c>
      <c r="I24" s="120">
        <v>78</v>
      </c>
      <c r="J24" s="87">
        <v>27</v>
      </c>
      <c r="K24" s="87">
        <v>46</v>
      </c>
      <c r="L24" s="87">
        <v>23</v>
      </c>
      <c r="M24" s="120">
        <v>1</v>
      </c>
      <c r="N24" s="87">
        <v>0</v>
      </c>
      <c r="O24" s="87">
        <v>0</v>
      </c>
      <c r="P24" s="87">
        <v>8</v>
      </c>
      <c r="Q24" s="120">
        <v>110</v>
      </c>
      <c r="R24" s="87">
        <v>59</v>
      </c>
      <c r="S24" s="120">
        <v>59</v>
      </c>
      <c r="T24" s="87">
        <v>62</v>
      </c>
      <c r="U24" s="120">
        <v>52</v>
      </c>
      <c r="V24" s="87">
        <v>15</v>
      </c>
      <c r="W24" s="87">
        <v>31</v>
      </c>
      <c r="X24" s="87">
        <v>22</v>
      </c>
      <c r="Y24" s="87">
        <v>8</v>
      </c>
      <c r="Z24" s="121">
        <v>41</v>
      </c>
    </row>
    <row r="25" spans="1:26" s="93" customFormat="1" ht="21" customHeight="1" x14ac:dyDescent="0.35">
      <c r="A25" s="236"/>
      <c r="B25" s="148">
        <v>0.24</v>
      </c>
      <c r="C25" s="140">
        <v>0.24</v>
      </c>
      <c r="D25" s="140">
        <v>0.19</v>
      </c>
      <c r="E25" s="141">
        <v>0.2</v>
      </c>
      <c r="F25" s="140">
        <v>0.16</v>
      </c>
      <c r="G25" s="140">
        <v>0.22</v>
      </c>
      <c r="H25" s="140">
        <v>0.18</v>
      </c>
      <c r="I25" s="141">
        <v>0.27</v>
      </c>
      <c r="J25" s="140">
        <v>0.36</v>
      </c>
      <c r="K25" s="140">
        <v>0.23</v>
      </c>
      <c r="L25" s="140">
        <v>0.16</v>
      </c>
      <c r="M25" s="141">
        <v>0.46</v>
      </c>
      <c r="N25" s="140">
        <v>0</v>
      </c>
      <c r="O25" s="140">
        <v>0.01</v>
      </c>
      <c r="P25" s="140">
        <v>0.31</v>
      </c>
      <c r="Q25" s="141">
        <v>0.24</v>
      </c>
      <c r="R25" s="140">
        <v>0.21</v>
      </c>
      <c r="S25" s="141">
        <v>0.27</v>
      </c>
      <c r="T25" s="140">
        <v>0.27</v>
      </c>
      <c r="U25" s="141">
        <v>0.21</v>
      </c>
      <c r="V25" s="140">
        <v>0.2</v>
      </c>
      <c r="W25" s="140">
        <v>0.33</v>
      </c>
      <c r="X25" s="140">
        <v>0.25</v>
      </c>
      <c r="Y25" s="140">
        <v>0.17</v>
      </c>
      <c r="Z25" s="142">
        <v>0.21</v>
      </c>
    </row>
    <row r="26" spans="1:26" ht="24" customHeight="1" x14ac:dyDescent="0.35">
      <c r="A26" s="235" t="s">
        <v>352</v>
      </c>
      <c r="B26" s="146">
        <v>56</v>
      </c>
      <c r="C26" s="87">
        <v>47</v>
      </c>
      <c r="D26" s="87">
        <v>8</v>
      </c>
      <c r="E26" s="120">
        <v>1</v>
      </c>
      <c r="F26" s="87">
        <v>2</v>
      </c>
      <c r="G26" s="87">
        <v>7</v>
      </c>
      <c r="H26" s="87">
        <v>6</v>
      </c>
      <c r="I26" s="120">
        <v>41</v>
      </c>
      <c r="J26" s="87">
        <v>4</v>
      </c>
      <c r="K26" s="87">
        <v>29</v>
      </c>
      <c r="L26" s="87">
        <v>18</v>
      </c>
      <c r="M26" s="120">
        <v>1</v>
      </c>
      <c r="N26" s="87">
        <v>0</v>
      </c>
      <c r="O26" s="87">
        <v>0</v>
      </c>
      <c r="P26" s="87">
        <v>6</v>
      </c>
      <c r="Q26" s="120">
        <v>50</v>
      </c>
      <c r="R26" s="87">
        <v>43</v>
      </c>
      <c r="S26" s="120">
        <v>12</v>
      </c>
      <c r="T26" s="87">
        <v>32</v>
      </c>
      <c r="U26" s="120">
        <v>24</v>
      </c>
      <c r="V26" s="87">
        <v>12</v>
      </c>
      <c r="W26" s="87">
        <v>16</v>
      </c>
      <c r="X26" s="87">
        <v>3</v>
      </c>
      <c r="Y26" s="87">
        <v>9</v>
      </c>
      <c r="Z26" s="121">
        <v>17</v>
      </c>
    </row>
    <row r="27" spans="1:26" x14ac:dyDescent="0.35">
      <c r="A27" s="246"/>
      <c r="B27" s="159">
        <v>0.11</v>
      </c>
      <c r="C27" s="125">
        <v>0.11</v>
      </c>
      <c r="D27" s="125">
        <v>0.13</v>
      </c>
      <c r="E27" s="160">
        <v>0.28000000000000003</v>
      </c>
      <c r="F27" s="125">
        <v>0.03</v>
      </c>
      <c r="G27" s="125">
        <v>0.09</v>
      </c>
      <c r="H27" s="125">
        <v>0.08</v>
      </c>
      <c r="I27" s="160">
        <v>0.14000000000000001</v>
      </c>
      <c r="J27" s="125">
        <v>0.06</v>
      </c>
      <c r="K27" s="125">
        <v>0.15</v>
      </c>
      <c r="L27" s="125">
        <v>0.12</v>
      </c>
      <c r="M27" s="160">
        <v>0.5</v>
      </c>
      <c r="N27" s="125">
        <v>0</v>
      </c>
      <c r="O27" s="125">
        <v>0</v>
      </c>
      <c r="P27" s="125">
        <v>0.23</v>
      </c>
      <c r="Q27" s="160">
        <v>0.11</v>
      </c>
      <c r="R27" s="125">
        <v>0.16</v>
      </c>
      <c r="S27" s="160">
        <v>0.06</v>
      </c>
      <c r="T27" s="125">
        <v>0.14000000000000001</v>
      </c>
      <c r="U27" s="160">
        <v>0.1</v>
      </c>
      <c r="V27" s="125">
        <v>0.17</v>
      </c>
      <c r="W27" s="125">
        <v>0.16</v>
      </c>
      <c r="X27" s="125">
        <v>0.03</v>
      </c>
      <c r="Y27" s="125">
        <v>0.17</v>
      </c>
      <c r="Z27" s="161">
        <v>0.09</v>
      </c>
    </row>
    <row r="28" spans="1:26" ht="20.25" customHeight="1" x14ac:dyDescent="0.35">
      <c r="A28" s="246" t="s">
        <v>353</v>
      </c>
      <c r="B28" s="187">
        <v>22</v>
      </c>
      <c r="C28" s="188">
        <v>18</v>
      </c>
      <c r="D28" s="188">
        <v>3</v>
      </c>
      <c r="E28" s="189">
        <v>0</v>
      </c>
      <c r="F28" s="188">
        <v>1</v>
      </c>
      <c r="G28" s="188">
        <v>3</v>
      </c>
      <c r="H28" s="188">
        <v>1</v>
      </c>
      <c r="I28" s="189">
        <v>17</v>
      </c>
      <c r="J28" s="188">
        <v>4</v>
      </c>
      <c r="K28" s="188">
        <v>6</v>
      </c>
      <c r="L28" s="188">
        <v>12</v>
      </c>
      <c r="M28" s="189">
        <v>0</v>
      </c>
      <c r="N28" s="188">
        <v>0</v>
      </c>
      <c r="O28" s="188">
        <v>0</v>
      </c>
      <c r="P28" s="188">
        <v>0</v>
      </c>
      <c r="Q28" s="189">
        <v>22</v>
      </c>
      <c r="R28" s="188">
        <v>10</v>
      </c>
      <c r="S28" s="189">
        <v>12</v>
      </c>
      <c r="T28" s="188">
        <v>16</v>
      </c>
      <c r="U28" s="189">
        <v>6</v>
      </c>
      <c r="V28" s="188">
        <v>0</v>
      </c>
      <c r="W28" s="188">
        <v>0</v>
      </c>
      <c r="X28" s="188">
        <v>3</v>
      </c>
      <c r="Y28" s="188">
        <v>0</v>
      </c>
      <c r="Z28" s="190">
        <v>19</v>
      </c>
    </row>
    <row r="29" spans="1:26" x14ac:dyDescent="0.35">
      <c r="A29" s="246"/>
      <c r="B29" s="162">
        <v>0.04</v>
      </c>
      <c r="C29" s="125">
        <v>0.04</v>
      </c>
      <c r="D29" s="125">
        <v>0.06</v>
      </c>
      <c r="E29" s="160">
        <v>0.04</v>
      </c>
      <c r="F29" s="125">
        <v>0.02</v>
      </c>
      <c r="G29" s="125">
        <v>0.04</v>
      </c>
      <c r="H29" s="125">
        <v>0.01</v>
      </c>
      <c r="I29" s="160">
        <v>0.06</v>
      </c>
      <c r="J29" s="125">
        <v>0.05</v>
      </c>
      <c r="K29" s="125">
        <v>0.03</v>
      </c>
      <c r="L29" s="125">
        <v>0.09</v>
      </c>
      <c r="M29" s="160">
        <v>0.04</v>
      </c>
      <c r="N29" s="125">
        <v>0</v>
      </c>
      <c r="O29" s="125">
        <v>0</v>
      </c>
      <c r="P29" s="125">
        <v>0</v>
      </c>
      <c r="Q29" s="160">
        <v>0.05</v>
      </c>
      <c r="R29" s="125">
        <v>0.04</v>
      </c>
      <c r="S29" s="160">
        <v>0.05</v>
      </c>
      <c r="T29" s="125">
        <v>7.0000000000000007E-2</v>
      </c>
      <c r="U29" s="160">
        <v>0.02</v>
      </c>
      <c r="V29" s="125">
        <v>0</v>
      </c>
      <c r="W29" s="125">
        <v>0</v>
      </c>
      <c r="X29" s="125">
        <v>0.03</v>
      </c>
      <c r="Y29" s="125">
        <v>0</v>
      </c>
      <c r="Z29" s="161">
        <v>0.1</v>
      </c>
    </row>
    <row r="30" spans="1:26" ht="20.25" customHeight="1" x14ac:dyDescent="0.35">
      <c r="A30" s="246" t="s">
        <v>354</v>
      </c>
      <c r="B30" s="187">
        <v>150</v>
      </c>
      <c r="C30" s="188">
        <v>137</v>
      </c>
      <c r="D30" s="188">
        <v>12</v>
      </c>
      <c r="E30" s="189">
        <v>1</v>
      </c>
      <c r="F30" s="188">
        <v>16</v>
      </c>
      <c r="G30" s="188">
        <v>24</v>
      </c>
      <c r="H30" s="188">
        <v>27</v>
      </c>
      <c r="I30" s="189">
        <v>84</v>
      </c>
      <c r="J30" s="188">
        <v>32</v>
      </c>
      <c r="K30" s="188">
        <v>40</v>
      </c>
      <c r="L30" s="188">
        <v>42</v>
      </c>
      <c r="M30" s="189">
        <v>0</v>
      </c>
      <c r="N30" s="188">
        <v>0</v>
      </c>
      <c r="O30" s="188">
        <v>5</v>
      </c>
      <c r="P30" s="188">
        <v>5</v>
      </c>
      <c r="Q30" s="189">
        <v>140</v>
      </c>
      <c r="R30" s="188">
        <v>70</v>
      </c>
      <c r="S30" s="189">
        <v>80</v>
      </c>
      <c r="T30" s="188">
        <v>47</v>
      </c>
      <c r="U30" s="189">
        <v>91</v>
      </c>
      <c r="V30" s="188">
        <v>22</v>
      </c>
      <c r="W30" s="188">
        <v>27</v>
      </c>
      <c r="X30" s="188">
        <v>23</v>
      </c>
      <c r="Y30" s="188">
        <v>12</v>
      </c>
      <c r="Z30" s="190">
        <v>65</v>
      </c>
    </row>
    <row r="31" spans="1:26" x14ac:dyDescent="0.35">
      <c r="A31" s="246"/>
      <c r="B31" s="159">
        <v>0.3</v>
      </c>
      <c r="C31" s="125">
        <v>0.31</v>
      </c>
      <c r="D31" s="125">
        <v>0.21</v>
      </c>
      <c r="E31" s="160">
        <v>0.18</v>
      </c>
      <c r="F31" s="125">
        <v>0.28000000000000003</v>
      </c>
      <c r="G31" s="125">
        <v>0.32</v>
      </c>
      <c r="H31" s="125">
        <v>0.34</v>
      </c>
      <c r="I31" s="160">
        <v>0.28999999999999998</v>
      </c>
      <c r="J31" s="125">
        <v>0.41</v>
      </c>
      <c r="K31" s="125">
        <v>0.2</v>
      </c>
      <c r="L31" s="125">
        <v>0.28999999999999998</v>
      </c>
      <c r="M31" s="160">
        <v>0.14000000000000001</v>
      </c>
      <c r="N31" s="125">
        <v>0</v>
      </c>
      <c r="O31" s="125">
        <v>0.7</v>
      </c>
      <c r="P31" s="125">
        <v>0.2</v>
      </c>
      <c r="Q31" s="160">
        <v>0.3</v>
      </c>
      <c r="R31" s="125">
        <v>0.25</v>
      </c>
      <c r="S31" s="160">
        <v>0.36</v>
      </c>
      <c r="T31" s="125">
        <v>0.2</v>
      </c>
      <c r="U31" s="160">
        <v>0.37</v>
      </c>
      <c r="V31" s="125">
        <v>0.31</v>
      </c>
      <c r="W31" s="125">
        <v>0.28999999999999998</v>
      </c>
      <c r="X31" s="125">
        <v>0.26</v>
      </c>
      <c r="Y31" s="125">
        <v>0.24</v>
      </c>
      <c r="Z31" s="161">
        <v>0.34</v>
      </c>
    </row>
    <row r="32" spans="1:26" ht="20.25" customHeight="1" thickBot="1" x14ac:dyDescent="0.4">
      <c r="A32" s="249" t="s">
        <v>355</v>
      </c>
      <c r="B32" s="187">
        <v>20</v>
      </c>
      <c r="C32" s="188">
        <v>16</v>
      </c>
      <c r="D32" s="188">
        <v>4</v>
      </c>
      <c r="E32" s="189">
        <v>0</v>
      </c>
      <c r="F32" s="188">
        <v>3</v>
      </c>
      <c r="G32" s="188">
        <v>3</v>
      </c>
      <c r="H32" s="188">
        <v>3</v>
      </c>
      <c r="I32" s="189">
        <v>11</v>
      </c>
      <c r="J32" s="188">
        <v>2</v>
      </c>
      <c r="K32" s="188">
        <v>7</v>
      </c>
      <c r="L32" s="188">
        <v>7</v>
      </c>
      <c r="M32" s="189">
        <v>0</v>
      </c>
      <c r="N32" s="188">
        <v>0</v>
      </c>
      <c r="O32" s="188">
        <v>0</v>
      </c>
      <c r="P32" s="188">
        <v>1</v>
      </c>
      <c r="Q32" s="189">
        <v>19</v>
      </c>
      <c r="R32" s="188">
        <v>14</v>
      </c>
      <c r="S32" s="189">
        <v>6</v>
      </c>
      <c r="T32" s="188">
        <v>6</v>
      </c>
      <c r="U32" s="189">
        <v>11</v>
      </c>
      <c r="V32" s="188">
        <v>1</v>
      </c>
      <c r="W32" s="188">
        <v>4</v>
      </c>
      <c r="X32" s="188">
        <v>5</v>
      </c>
      <c r="Y32" s="188">
        <v>6</v>
      </c>
      <c r="Z32" s="190">
        <v>4</v>
      </c>
    </row>
    <row r="33" spans="1:26" ht="19.5" thickBot="1" x14ac:dyDescent="0.4">
      <c r="A33" s="249"/>
      <c r="B33" s="191">
        <v>0.04</v>
      </c>
      <c r="C33" s="125">
        <v>0.04</v>
      </c>
      <c r="D33" s="192">
        <v>7.0000000000000007E-2</v>
      </c>
      <c r="E33" s="193">
        <v>0.08</v>
      </c>
      <c r="F33" s="192">
        <v>0.05</v>
      </c>
      <c r="G33" s="192">
        <v>0.05</v>
      </c>
      <c r="H33" s="192">
        <v>0.04</v>
      </c>
      <c r="I33" s="193">
        <v>0.04</v>
      </c>
      <c r="J33" s="192">
        <v>0.02</v>
      </c>
      <c r="K33" s="192">
        <v>0.04</v>
      </c>
      <c r="L33" s="192">
        <v>0.05</v>
      </c>
      <c r="M33" s="193">
        <v>0.04</v>
      </c>
      <c r="N33" s="192">
        <v>0</v>
      </c>
      <c r="O33" s="192">
        <v>0</v>
      </c>
      <c r="P33" s="192">
        <v>0.06</v>
      </c>
      <c r="Q33" s="193">
        <v>0.04</v>
      </c>
      <c r="R33" s="192">
        <v>0.05</v>
      </c>
      <c r="S33" s="193">
        <v>0.02</v>
      </c>
      <c r="T33" s="192">
        <v>0.02</v>
      </c>
      <c r="U33" s="193">
        <v>0.04</v>
      </c>
      <c r="V33" s="192">
        <v>0.01</v>
      </c>
      <c r="W33" s="192">
        <v>0.04</v>
      </c>
      <c r="X33" s="192">
        <v>0.06</v>
      </c>
      <c r="Y33" s="192">
        <v>0.13</v>
      </c>
      <c r="Z33" s="194">
        <v>0.02</v>
      </c>
    </row>
    <row r="34" spans="1:26" ht="19" customHeight="1" x14ac:dyDescent="0.35">
      <c r="C34" s="118"/>
    </row>
    <row r="35" spans="1:26" ht="19" customHeight="1" x14ac:dyDescent="0.35">
      <c r="C35" s="121"/>
    </row>
    <row r="36" spans="1:26" ht="19" customHeight="1" x14ac:dyDescent="0.35">
      <c r="C36" s="121"/>
    </row>
    <row r="37" spans="1:26" ht="19" customHeight="1" x14ac:dyDescent="0.35">
      <c r="C37" s="121"/>
    </row>
    <row r="38" spans="1:26" ht="19" customHeight="1" x14ac:dyDescent="0.35">
      <c r="C38" s="121"/>
    </row>
    <row r="39" spans="1:26" ht="19" customHeight="1" x14ac:dyDescent="0.35">
      <c r="C39" s="121"/>
    </row>
    <row r="40" spans="1:26" ht="19" customHeight="1" x14ac:dyDescent="0.35">
      <c r="C40" s="121"/>
    </row>
    <row r="41" spans="1:26" ht="19" customHeight="1" x14ac:dyDescent="0.35">
      <c r="C41" s="121"/>
    </row>
    <row r="42" spans="1:26" ht="19" customHeight="1" x14ac:dyDescent="0.35">
      <c r="C42" s="121"/>
    </row>
    <row r="43" spans="1:26" ht="19" customHeight="1" x14ac:dyDescent="0.35">
      <c r="C43" s="121"/>
    </row>
    <row r="44" spans="1:26" ht="19" customHeight="1" x14ac:dyDescent="0.35">
      <c r="C44" s="121"/>
    </row>
    <row r="45" spans="1:26" ht="19" customHeight="1" x14ac:dyDescent="0.35">
      <c r="C45" s="121"/>
    </row>
    <row r="46" spans="1:26" ht="19" customHeight="1" x14ac:dyDescent="0.35">
      <c r="C46" s="121"/>
    </row>
    <row r="47" spans="1:26" ht="19" customHeight="1" x14ac:dyDescent="0.35">
      <c r="C47" s="121"/>
    </row>
    <row r="48" spans="1:26" ht="19" customHeight="1" x14ac:dyDescent="0.35">
      <c r="C48" s="121"/>
    </row>
    <row r="49" spans="2:26" ht="19" customHeight="1" x14ac:dyDescent="0.35">
      <c r="C49" s="121"/>
    </row>
    <row r="50" spans="2:26" ht="19" customHeight="1" x14ac:dyDescent="0.35">
      <c r="C50" s="121"/>
    </row>
    <row r="51" spans="2:26" ht="19" customHeight="1" x14ac:dyDescent="0.35">
      <c r="C51" s="121"/>
    </row>
    <row r="52" spans="2:26" ht="19" customHeight="1" x14ac:dyDescent="0.35">
      <c r="C52" s="121"/>
    </row>
    <row r="53" spans="2:26" ht="19" customHeight="1" x14ac:dyDescent="0.35">
      <c r="C53" s="121"/>
    </row>
    <row r="54" spans="2:26" ht="19" customHeight="1" x14ac:dyDescent="0.35">
      <c r="C54" s="121"/>
    </row>
    <row r="55" spans="2:26" x14ac:dyDescent="0.35">
      <c r="B55" s="169">
        <f t="shared" ref="B55:Z55" si="0">+B16</f>
        <v>77</v>
      </c>
      <c r="C55" s="88">
        <f t="shared" si="0"/>
        <v>69</v>
      </c>
      <c r="D55" s="88">
        <f t="shared" si="0"/>
        <v>7</v>
      </c>
      <c r="E55" s="88">
        <f t="shared" si="0"/>
        <v>1</v>
      </c>
      <c r="F55" s="88">
        <f t="shared" si="0"/>
        <v>12</v>
      </c>
      <c r="G55" s="88">
        <f t="shared" si="0"/>
        <v>11</v>
      </c>
      <c r="H55" s="88">
        <f t="shared" si="0"/>
        <v>16</v>
      </c>
      <c r="I55" s="88">
        <f t="shared" si="0"/>
        <v>39</v>
      </c>
      <c r="J55" s="88">
        <f t="shared" si="0"/>
        <v>5</v>
      </c>
      <c r="K55" s="88">
        <f t="shared" si="0"/>
        <v>33</v>
      </c>
      <c r="L55" s="88">
        <f t="shared" si="0"/>
        <v>35</v>
      </c>
      <c r="M55" s="88">
        <f t="shared" si="0"/>
        <v>0</v>
      </c>
      <c r="N55" s="88">
        <f t="shared" si="0"/>
        <v>0</v>
      </c>
      <c r="O55" s="88">
        <f t="shared" si="0"/>
        <v>0</v>
      </c>
      <c r="P55" s="88">
        <f t="shared" si="0"/>
        <v>2</v>
      </c>
      <c r="Q55" s="88">
        <f t="shared" si="0"/>
        <v>74</v>
      </c>
      <c r="R55" s="88">
        <f t="shared" si="0"/>
        <v>33</v>
      </c>
      <c r="S55" s="88">
        <f t="shared" si="0"/>
        <v>44</v>
      </c>
      <c r="T55" s="88">
        <f t="shared" si="0"/>
        <v>44</v>
      </c>
      <c r="U55" s="88">
        <f t="shared" si="0"/>
        <v>33</v>
      </c>
      <c r="V55" s="88">
        <f t="shared" si="0"/>
        <v>6</v>
      </c>
      <c r="W55" s="88">
        <f t="shared" si="0"/>
        <v>21</v>
      </c>
      <c r="X55" s="88">
        <f t="shared" si="0"/>
        <v>15</v>
      </c>
      <c r="Y55" s="88">
        <f t="shared" si="0"/>
        <v>8</v>
      </c>
      <c r="Z55" s="114">
        <f t="shared" si="0"/>
        <v>28</v>
      </c>
    </row>
    <row r="56" spans="2:26" x14ac:dyDescent="0.35">
      <c r="B56" s="170">
        <f t="shared" ref="B56:Z56" si="1">ROUND(B17,2)</f>
        <v>0.15</v>
      </c>
      <c r="C56" s="126">
        <f t="shared" si="1"/>
        <v>0.16</v>
      </c>
      <c r="D56" s="126">
        <f t="shared" si="1"/>
        <v>0.12</v>
      </c>
      <c r="E56" s="126">
        <f t="shared" si="1"/>
        <v>0.19</v>
      </c>
      <c r="F56" s="126">
        <f t="shared" si="1"/>
        <v>0.22</v>
      </c>
      <c r="G56" s="126">
        <f t="shared" si="1"/>
        <v>0.14000000000000001</v>
      </c>
      <c r="H56" s="126">
        <f t="shared" si="1"/>
        <v>0.2</v>
      </c>
      <c r="I56" s="126">
        <f t="shared" si="1"/>
        <v>0.13</v>
      </c>
      <c r="J56" s="126">
        <f t="shared" si="1"/>
        <v>0.06</v>
      </c>
      <c r="K56" s="126">
        <f t="shared" si="1"/>
        <v>0.17</v>
      </c>
      <c r="L56" s="126">
        <f t="shared" si="1"/>
        <v>0.24</v>
      </c>
      <c r="M56" s="126">
        <f t="shared" si="1"/>
        <v>0</v>
      </c>
      <c r="N56" s="126">
        <f t="shared" si="1"/>
        <v>0</v>
      </c>
      <c r="O56" s="126">
        <f t="shared" si="1"/>
        <v>0.04</v>
      </c>
      <c r="P56" s="126">
        <f t="shared" si="1"/>
        <v>0.1</v>
      </c>
      <c r="Q56" s="126">
        <f t="shared" si="1"/>
        <v>0.16</v>
      </c>
      <c r="R56" s="126">
        <f t="shared" si="1"/>
        <v>0.12</v>
      </c>
      <c r="S56" s="126">
        <f t="shared" si="1"/>
        <v>0.2</v>
      </c>
      <c r="T56" s="126">
        <f t="shared" si="1"/>
        <v>0.19</v>
      </c>
      <c r="U56" s="126">
        <f t="shared" si="1"/>
        <v>0.14000000000000001</v>
      </c>
      <c r="V56" s="126">
        <f t="shared" si="1"/>
        <v>0.08</v>
      </c>
      <c r="W56" s="126">
        <f t="shared" si="1"/>
        <v>0.22</v>
      </c>
      <c r="X56" s="126">
        <f t="shared" si="1"/>
        <v>0.16</v>
      </c>
      <c r="Y56" s="126">
        <f t="shared" si="1"/>
        <v>0.16</v>
      </c>
      <c r="Z56" s="195">
        <f t="shared" si="1"/>
        <v>0.15</v>
      </c>
    </row>
    <row r="57" spans="2:26" x14ac:dyDescent="0.35">
      <c r="B57" s="169">
        <f t="shared" ref="B57:Z57" si="2">+B18</f>
        <v>87</v>
      </c>
      <c r="C57" s="88">
        <f t="shared" si="2"/>
        <v>79</v>
      </c>
      <c r="D57" s="88">
        <f t="shared" si="2"/>
        <v>7</v>
      </c>
      <c r="E57" s="88">
        <f t="shared" si="2"/>
        <v>1</v>
      </c>
      <c r="F57" s="88">
        <f t="shared" si="2"/>
        <v>12</v>
      </c>
      <c r="G57" s="88">
        <f t="shared" si="2"/>
        <v>11</v>
      </c>
      <c r="H57" s="88">
        <f t="shared" si="2"/>
        <v>13</v>
      </c>
      <c r="I57" s="88">
        <f t="shared" si="2"/>
        <v>51</v>
      </c>
      <c r="J57" s="88">
        <f t="shared" si="2"/>
        <v>8</v>
      </c>
      <c r="K57" s="88">
        <f t="shared" si="2"/>
        <v>48</v>
      </c>
      <c r="L57" s="88">
        <f t="shared" si="2"/>
        <v>26</v>
      </c>
      <c r="M57" s="88">
        <f t="shared" si="2"/>
        <v>0</v>
      </c>
      <c r="N57" s="88">
        <f t="shared" si="2"/>
        <v>0</v>
      </c>
      <c r="O57" s="88">
        <f t="shared" si="2"/>
        <v>1</v>
      </c>
      <c r="P57" s="88">
        <f t="shared" si="2"/>
        <v>6</v>
      </c>
      <c r="Q57" s="88">
        <f t="shared" si="2"/>
        <v>81</v>
      </c>
      <c r="R57" s="88">
        <f t="shared" si="2"/>
        <v>56</v>
      </c>
      <c r="S57" s="88">
        <f t="shared" si="2"/>
        <v>32</v>
      </c>
      <c r="T57" s="88">
        <f t="shared" si="2"/>
        <v>52</v>
      </c>
      <c r="U57" s="88">
        <f t="shared" si="2"/>
        <v>33</v>
      </c>
      <c r="V57" s="88">
        <f t="shared" si="2"/>
        <v>13</v>
      </c>
      <c r="W57" s="88">
        <f t="shared" si="2"/>
        <v>13</v>
      </c>
      <c r="X57" s="88">
        <f t="shared" si="2"/>
        <v>16</v>
      </c>
      <c r="Y57" s="88">
        <f t="shared" si="2"/>
        <v>10</v>
      </c>
      <c r="Z57" s="114">
        <f t="shared" si="2"/>
        <v>34</v>
      </c>
    </row>
    <row r="58" spans="2:26" x14ac:dyDescent="0.35">
      <c r="B58" s="170">
        <f t="shared" ref="B58:Z58" si="3">ROUND(B17+B19,2)</f>
        <v>0.32</v>
      </c>
      <c r="C58" s="126">
        <f t="shared" si="3"/>
        <v>0.34</v>
      </c>
      <c r="D58" s="126">
        <f t="shared" si="3"/>
        <v>0.24</v>
      </c>
      <c r="E58" s="126">
        <f t="shared" si="3"/>
        <v>0.39</v>
      </c>
      <c r="F58" s="126">
        <f t="shared" si="3"/>
        <v>0.44</v>
      </c>
      <c r="G58" s="126">
        <f t="shared" si="3"/>
        <v>0.28000000000000003</v>
      </c>
      <c r="H58" s="126">
        <f t="shared" si="3"/>
        <v>0.37</v>
      </c>
      <c r="I58" s="126">
        <f t="shared" si="3"/>
        <v>0.31</v>
      </c>
      <c r="J58" s="126">
        <f t="shared" si="3"/>
        <v>0.17</v>
      </c>
      <c r="K58" s="126">
        <f t="shared" si="3"/>
        <v>0.41</v>
      </c>
      <c r="L58" s="126">
        <f t="shared" si="3"/>
        <v>0.42</v>
      </c>
      <c r="M58" s="126">
        <f t="shared" si="3"/>
        <v>0.04</v>
      </c>
      <c r="N58" s="126">
        <f t="shared" si="3"/>
        <v>0</v>
      </c>
      <c r="O58" s="126">
        <f t="shared" si="3"/>
        <v>0.17</v>
      </c>
      <c r="P58" s="126">
        <f t="shared" si="3"/>
        <v>0.32</v>
      </c>
      <c r="Q58" s="126">
        <f t="shared" si="3"/>
        <v>0.33</v>
      </c>
      <c r="R58" s="126">
        <f t="shared" si="3"/>
        <v>0.32</v>
      </c>
      <c r="S58" s="126">
        <f t="shared" si="3"/>
        <v>0.34</v>
      </c>
      <c r="T58" s="126">
        <f t="shared" si="3"/>
        <v>0.42</v>
      </c>
      <c r="U58" s="126">
        <f t="shared" si="3"/>
        <v>0.27</v>
      </c>
      <c r="V58" s="126">
        <f t="shared" si="3"/>
        <v>0.27</v>
      </c>
      <c r="W58" s="126">
        <f t="shared" si="3"/>
        <v>0.36</v>
      </c>
      <c r="X58" s="126">
        <f t="shared" si="3"/>
        <v>0.34</v>
      </c>
      <c r="Y58" s="126">
        <f t="shared" si="3"/>
        <v>0.36</v>
      </c>
      <c r="Z58" s="195">
        <f t="shared" si="3"/>
        <v>0.33</v>
      </c>
    </row>
    <row r="59" spans="2:26" x14ac:dyDescent="0.35">
      <c r="B59" s="169">
        <f t="shared" ref="B59:Z59" si="4">+B20</f>
        <v>81</v>
      </c>
      <c r="C59" s="88">
        <f t="shared" si="4"/>
        <v>67</v>
      </c>
      <c r="D59" s="88">
        <f t="shared" si="4"/>
        <v>14</v>
      </c>
      <c r="E59" s="88">
        <f t="shared" si="4"/>
        <v>1</v>
      </c>
      <c r="F59" s="88">
        <f t="shared" si="4"/>
        <v>12</v>
      </c>
      <c r="G59" s="88">
        <f t="shared" si="4"/>
        <v>12</v>
      </c>
      <c r="H59" s="88">
        <f t="shared" si="4"/>
        <v>13</v>
      </c>
      <c r="I59" s="88">
        <f t="shared" si="4"/>
        <v>44</v>
      </c>
      <c r="J59" s="88">
        <f t="shared" si="4"/>
        <v>16</v>
      </c>
      <c r="K59" s="88">
        <f t="shared" si="4"/>
        <v>35</v>
      </c>
      <c r="L59" s="88">
        <f t="shared" si="4"/>
        <v>20</v>
      </c>
      <c r="M59" s="88">
        <f t="shared" si="4"/>
        <v>0</v>
      </c>
      <c r="N59" s="88">
        <f t="shared" si="4"/>
        <v>0</v>
      </c>
      <c r="O59" s="88">
        <f t="shared" si="4"/>
        <v>0</v>
      </c>
      <c r="P59" s="88">
        <f t="shared" si="4"/>
        <v>3</v>
      </c>
      <c r="Q59" s="88">
        <f t="shared" si="4"/>
        <v>76</v>
      </c>
      <c r="R59" s="88">
        <f t="shared" si="4"/>
        <v>44</v>
      </c>
      <c r="S59" s="88">
        <f t="shared" si="4"/>
        <v>37</v>
      </c>
      <c r="T59" s="88">
        <f t="shared" si="4"/>
        <v>37</v>
      </c>
      <c r="U59" s="88">
        <f t="shared" si="4"/>
        <v>42</v>
      </c>
      <c r="V59" s="88">
        <f t="shared" si="4"/>
        <v>8</v>
      </c>
      <c r="W59" s="88">
        <f t="shared" si="4"/>
        <v>14</v>
      </c>
      <c r="X59" s="88">
        <f t="shared" si="4"/>
        <v>13</v>
      </c>
      <c r="Y59" s="88">
        <f t="shared" si="4"/>
        <v>10</v>
      </c>
      <c r="Z59" s="114">
        <f t="shared" si="4"/>
        <v>36</v>
      </c>
    </row>
    <row r="60" spans="2:26" x14ac:dyDescent="0.35">
      <c r="B60" s="170">
        <f t="shared" ref="B60:Z60" si="5">ROUND(B17+B19+B21,2)</f>
        <v>0.48</v>
      </c>
      <c r="C60" s="126">
        <f t="shared" si="5"/>
        <v>0.49</v>
      </c>
      <c r="D60" s="126">
        <f t="shared" si="5"/>
        <v>0.47</v>
      </c>
      <c r="E60" s="126">
        <f t="shared" si="5"/>
        <v>0.5</v>
      </c>
      <c r="F60" s="126">
        <f t="shared" si="5"/>
        <v>0.66</v>
      </c>
      <c r="G60" s="126">
        <f t="shared" si="5"/>
        <v>0.45</v>
      </c>
      <c r="H60" s="126">
        <f t="shared" si="5"/>
        <v>0.53</v>
      </c>
      <c r="I60" s="126">
        <f t="shared" si="5"/>
        <v>0.46</v>
      </c>
      <c r="J60" s="126">
        <f t="shared" si="5"/>
        <v>0.37</v>
      </c>
      <c r="K60" s="126">
        <f t="shared" si="5"/>
        <v>0.57999999999999996</v>
      </c>
      <c r="L60" s="126">
        <f t="shared" si="5"/>
        <v>0.56000000000000005</v>
      </c>
      <c r="M60" s="126">
        <f t="shared" si="5"/>
        <v>0.08</v>
      </c>
      <c r="N60" s="126">
        <f t="shared" si="5"/>
        <v>1</v>
      </c>
      <c r="O60" s="126">
        <f t="shared" si="5"/>
        <v>0.21</v>
      </c>
      <c r="P60" s="126">
        <f t="shared" si="5"/>
        <v>0.44</v>
      </c>
      <c r="Q60" s="126">
        <f t="shared" si="5"/>
        <v>0.49</v>
      </c>
      <c r="R60" s="126">
        <f t="shared" si="5"/>
        <v>0.48</v>
      </c>
      <c r="S60" s="126">
        <f t="shared" si="5"/>
        <v>0.51</v>
      </c>
      <c r="T60" s="126">
        <f t="shared" si="5"/>
        <v>0.57999999999999996</v>
      </c>
      <c r="U60" s="126">
        <f t="shared" si="5"/>
        <v>0.44</v>
      </c>
      <c r="V60" s="126">
        <f t="shared" si="5"/>
        <v>0.39</v>
      </c>
      <c r="W60" s="126">
        <f t="shared" si="5"/>
        <v>0.51</v>
      </c>
      <c r="X60" s="126">
        <f t="shared" si="5"/>
        <v>0.49</v>
      </c>
      <c r="Y60" s="126">
        <f t="shared" si="5"/>
        <v>0.56000000000000005</v>
      </c>
      <c r="Z60" s="195">
        <f t="shared" si="5"/>
        <v>0.52</v>
      </c>
    </row>
    <row r="61" spans="2:26" x14ac:dyDescent="0.35">
      <c r="B61" s="169">
        <f t="shared" ref="B61:Z61" si="6">+B22</f>
        <v>65</v>
      </c>
      <c r="C61" s="88">
        <f t="shared" si="6"/>
        <v>53</v>
      </c>
      <c r="D61" s="88">
        <f t="shared" si="6"/>
        <v>11</v>
      </c>
      <c r="E61" s="88">
        <f t="shared" si="6"/>
        <v>1</v>
      </c>
      <c r="F61" s="88">
        <f t="shared" si="6"/>
        <v>10</v>
      </c>
      <c r="G61" s="88">
        <f t="shared" si="6"/>
        <v>10</v>
      </c>
      <c r="H61" s="88">
        <f t="shared" si="6"/>
        <v>13</v>
      </c>
      <c r="I61" s="88">
        <f t="shared" si="6"/>
        <v>32</v>
      </c>
      <c r="J61" s="88">
        <f t="shared" si="6"/>
        <v>6</v>
      </c>
      <c r="K61" s="88">
        <f t="shared" si="6"/>
        <v>31</v>
      </c>
      <c r="L61" s="88">
        <f t="shared" si="6"/>
        <v>19</v>
      </c>
      <c r="M61" s="88">
        <f t="shared" si="6"/>
        <v>0</v>
      </c>
      <c r="N61" s="88">
        <f t="shared" si="6"/>
        <v>0</v>
      </c>
      <c r="O61" s="88">
        <f t="shared" si="6"/>
        <v>1</v>
      </c>
      <c r="P61" s="88">
        <f t="shared" si="6"/>
        <v>3</v>
      </c>
      <c r="Q61" s="88">
        <f t="shared" si="6"/>
        <v>61</v>
      </c>
      <c r="R61" s="88">
        <f t="shared" si="6"/>
        <v>39</v>
      </c>
      <c r="S61" s="88">
        <f t="shared" si="6"/>
        <v>25</v>
      </c>
      <c r="T61" s="88">
        <f t="shared" si="6"/>
        <v>42</v>
      </c>
      <c r="U61" s="88">
        <f t="shared" si="6"/>
        <v>22</v>
      </c>
      <c r="V61" s="88">
        <f t="shared" si="6"/>
        <v>13</v>
      </c>
      <c r="W61" s="88">
        <f t="shared" si="6"/>
        <v>13</v>
      </c>
      <c r="X61" s="88">
        <f t="shared" si="6"/>
        <v>16</v>
      </c>
      <c r="Y61" s="88">
        <f t="shared" si="6"/>
        <v>1</v>
      </c>
      <c r="Z61" s="114">
        <f t="shared" si="6"/>
        <v>21</v>
      </c>
    </row>
    <row r="62" spans="2:26" x14ac:dyDescent="0.35">
      <c r="B62" s="170">
        <f t="shared" ref="B62:Z62" si="7">ROUND(B17+B19+B21+B23,2)</f>
        <v>0.61</v>
      </c>
      <c r="C62" s="126">
        <f t="shared" si="7"/>
        <v>0.61</v>
      </c>
      <c r="D62" s="126">
        <f t="shared" si="7"/>
        <v>0.66</v>
      </c>
      <c r="E62" s="126">
        <f t="shared" si="7"/>
        <v>0.63</v>
      </c>
      <c r="F62" s="126">
        <f t="shared" si="7"/>
        <v>0.83</v>
      </c>
      <c r="G62" s="126">
        <f t="shared" si="7"/>
        <v>0.57999999999999996</v>
      </c>
      <c r="H62" s="126">
        <f t="shared" si="7"/>
        <v>0.7</v>
      </c>
      <c r="I62" s="126">
        <f t="shared" si="7"/>
        <v>0.56999999999999995</v>
      </c>
      <c r="J62" s="126">
        <f t="shared" si="7"/>
        <v>0.45</v>
      </c>
      <c r="K62" s="126">
        <f t="shared" si="7"/>
        <v>0.74</v>
      </c>
      <c r="L62" s="126">
        <f t="shared" si="7"/>
        <v>0.69</v>
      </c>
      <c r="M62" s="126">
        <f t="shared" si="7"/>
        <v>0.12</v>
      </c>
      <c r="N62" s="126">
        <f t="shared" si="7"/>
        <v>2</v>
      </c>
      <c r="O62" s="126">
        <f t="shared" si="7"/>
        <v>0.33</v>
      </c>
      <c r="P62" s="126">
        <f t="shared" si="7"/>
        <v>0.54</v>
      </c>
      <c r="Q62" s="126">
        <f t="shared" si="7"/>
        <v>0.62</v>
      </c>
      <c r="R62" s="126">
        <f t="shared" si="7"/>
        <v>0.62</v>
      </c>
      <c r="S62" s="126">
        <f t="shared" si="7"/>
        <v>0.62</v>
      </c>
      <c r="T62" s="126">
        <f t="shared" si="7"/>
        <v>0.76</v>
      </c>
      <c r="U62" s="126">
        <f t="shared" si="7"/>
        <v>0.53</v>
      </c>
      <c r="V62" s="126">
        <f t="shared" si="7"/>
        <v>0.56999999999999995</v>
      </c>
      <c r="W62" s="126">
        <f t="shared" si="7"/>
        <v>0.65</v>
      </c>
      <c r="X62" s="126">
        <f t="shared" si="7"/>
        <v>0.67</v>
      </c>
      <c r="Y62" s="126">
        <f t="shared" si="7"/>
        <v>0.59</v>
      </c>
      <c r="Z62" s="195">
        <f t="shared" si="7"/>
        <v>0.63</v>
      </c>
    </row>
    <row r="63" spans="2:26" x14ac:dyDescent="0.35">
      <c r="B63" s="169">
        <f t="shared" ref="B63:Z63" si="8">+B24</f>
        <v>118</v>
      </c>
      <c r="C63" s="88">
        <f t="shared" si="8"/>
        <v>106</v>
      </c>
      <c r="D63" s="88">
        <f t="shared" si="8"/>
        <v>11</v>
      </c>
      <c r="E63" s="88">
        <f t="shared" si="8"/>
        <v>1</v>
      </c>
      <c r="F63" s="88">
        <f t="shared" si="8"/>
        <v>9</v>
      </c>
      <c r="G63" s="88">
        <f t="shared" si="8"/>
        <v>17</v>
      </c>
      <c r="H63" s="88">
        <f t="shared" si="8"/>
        <v>14</v>
      </c>
      <c r="I63" s="88">
        <f t="shared" si="8"/>
        <v>78</v>
      </c>
      <c r="J63" s="88">
        <f t="shared" si="8"/>
        <v>27</v>
      </c>
      <c r="K63" s="88">
        <f t="shared" si="8"/>
        <v>46</v>
      </c>
      <c r="L63" s="88">
        <f t="shared" si="8"/>
        <v>23</v>
      </c>
      <c r="M63" s="88">
        <f t="shared" si="8"/>
        <v>1</v>
      </c>
      <c r="N63" s="88">
        <f t="shared" si="8"/>
        <v>0</v>
      </c>
      <c r="O63" s="88">
        <f t="shared" si="8"/>
        <v>0</v>
      </c>
      <c r="P63" s="88">
        <f t="shared" si="8"/>
        <v>8</v>
      </c>
      <c r="Q63" s="88">
        <f t="shared" si="8"/>
        <v>110</v>
      </c>
      <c r="R63" s="88">
        <f t="shared" si="8"/>
        <v>59</v>
      </c>
      <c r="S63" s="88">
        <f t="shared" si="8"/>
        <v>59</v>
      </c>
      <c r="T63" s="88">
        <f t="shared" si="8"/>
        <v>62</v>
      </c>
      <c r="U63" s="88">
        <f t="shared" si="8"/>
        <v>52</v>
      </c>
      <c r="V63" s="88">
        <f t="shared" si="8"/>
        <v>15</v>
      </c>
      <c r="W63" s="88">
        <f t="shared" si="8"/>
        <v>31</v>
      </c>
      <c r="X63" s="88">
        <f t="shared" si="8"/>
        <v>22</v>
      </c>
      <c r="Y63" s="88">
        <f t="shared" si="8"/>
        <v>8</v>
      </c>
      <c r="Z63" s="114">
        <f t="shared" si="8"/>
        <v>41</v>
      </c>
    </row>
    <row r="64" spans="2:26" x14ac:dyDescent="0.35">
      <c r="B64" s="170">
        <f t="shared" ref="B64:Z64" si="9">ROUND(B17+B19+B21+B23+B25,2)</f>
        <v>0.85</v>
      </c>
      <c r="C64" s="126">
        <f t="shared" si="9"/>
        <v>0.85</v>
      </c>
      <c r="D64" s="126">
        <f t="shared" si="9"/>
        <v>0.85</v>
      </c>
      <c r="E64" s="126">
        <f t="shared" si="9"/>
        <v>0.83</v>
      </c>
      <c r="F64" s="126">
        <f t="shared" si="9"/>
        <v>0.99</v>
      </c>
      <c r="G64" s="126">
        <f t="shared" si="9"/>
        <v>0.8</v>
      </c>
      <c r="H64" s="126">
        <f t="shared" si="9"/>
        <v>0.88</v>
      </c>
      <c r="I64" s="126">
        <f t="shared" si="9"/>
        <v>0.84</v>
      </c>
      <c r="J64" s="126">
        <f t="shared" si="9"/>
        <v>0.81</v>
      </c>
      <c r="K64" s="126">
        <f t="shared" si="9"/>
        <v>0.97</v>
      </c>
      <c r="L64" s="126">
        <f t="shared" si="9"/>
        <v>0.85</v>
      </c>
      <c r="M64" s="126">
        <f t="shared" si="9"/>
        <v>0.57999999999999996</v>
      </c>
      <c r="N64" s="126">
        <f t="shared" si="9"/>
        <v>2</v>
      </c>
      <c r="O64" s="126">
        <f t="shared" si="9"/>
        <v>0.34</v>
      </c>
      <c r="P64" s="126">
        <f t="shared" si="9"/>
        <v>0.85</v>
      </c>
      <c r="Q64" s="126">
        <f t="shared" si="9"/>
        <v>0.86</v>
      </c>
      <c r="R64" s="126">
        <f t="shared" si="9"/>
        <v>0.83</v>
      </c>
      <c r="S64" s="126">
        <f t="shared" si="9"/>
        <v>0.89</v>
      </c>
      <c r="T64" s="126">
        <f t="shared" si="9"/>
        <v>1.03</v>
      </c>
      <c r="U64" s="126">
        <f t="shared" si="9"/>
        <v>0.74</v>
      </c>
      <c r="V64" s="126">
        <f t="shared" si="9"/>
        <v>0.77</v>
      </c>
      <c r="W64" s="126">
        <f t="shared" si="9"/>
        <v>0.98</v>
      </c>
      <c r="X64" s="126">
        <f t="shared" si="9"/>
        <v>0.92</v>
      </c>
      <c r="Y64" s="126">
        <f t="shared" si="9"/>
        <v>0.76</v>
      </c>
      <c r="Z64" s="195">
        <f t="shared" si="9"/>
        <v>0.84</v>
      </c>
    </row>
    <row r="65" spans="2:26" x14ac:dyDescent="0.35">
      <c r="B65" s="169">
        <f t="shared" ref="B65:Z65" si="10">+B26</f>
        <v>56</v>
      </c>
      <c r="C65" s="88">
        <f t="shared" si="10"/>
        <v>47</v>
      </c>
      <c r="D65" s="88">
        <f t="shared" si="10"/>
        <v>8</v>
      </c>
      <c r="E65" s="88">
        <f t="shared" si="10"/>
        <v>1</v>
      </c>
      <c r="F65" s="88">
        <f t="shared" si="10"/>
        <v>2</v>
      </c>
      <c r="G65" s="88">
        <f t="shared" si="10"/>
        <v>7</v>
      </c>
      <c r="H65" s="88">
        <f t="shared" si="10"/>
        <v>6</v>
      </c>
      <c r="I65" s="88">
        <f t="shared" si="10"/>
        <v>41</v>
      </c>
      <c r="J65" s="88">
        <f t="shared" si="10"/>
        <v>4</v>
      </c>
      <c r="K65" s="88">
        <f t="shared" si="10"/>
        <v>29</v>
      </c>
      <c r="L65" s="88">
        <f t="shared" si="10"/>
        <v>18</v>
      </c>
      <c r="M65" s="88">
        <f t="shared" si="10"/>
        <v>1</v>
      </c>
      <c r="N65" s="88">
        <f t="shared" si="10"/>
        <v>0</v>
      </c>
      <c r="O65" s="88">
        <f t="shared" si="10"/>
        <v>0</v>
      </c>
      <c r="P65" s="88">
        <f t="shared" si="10"/>
        <v>6</v>
      </c>
      <c r="Q65" s="88">
        <f t="shared" si="10"/>
        <v>50</v>
      </c>
      <c r="R65" s="88">
        <f t="shared" si="10"/>
        <v>43</v>
      </c>
      <c r="S65" s="88">
        <f t="shared" si="10"/>
        <v>12</v>
      </c>
      <c r="T65" s="88">
        <f t="shared" si="10"/>
        <v>32</v>
      </c>
      <c r="U65" s="88">
        <f t="shared" si="10"/>
        <v>24</v>
      </c>
      <c r="V65" s="88">
        <f t="shared" si="10"/>
        <v>12</v>
      </c>
      <c r="W65" s="88">
        <f t="shared" si="10"/>
        <v>16</v>
      </c>
      <c r="X65" s="88">
        <f t="shared" si="10"/>
        <v>3</v>
      </c>
      <c r="Y65" s="88">
        <f t="shared" si="10"/>
        <v>9</v>
      </c>
      <c r="Z65" s="114">
        <f t="shared" si="10"/>
        <v>17</v>
      </c>
    </row>
    <row r="66" spans="2:26" x14ac:dyDescent="0.35">
      <c r="B66" s="170">
        <f t="shared" ref="B66:Z66" si="11">ROUND(B17+B19+B21+B23+B25+B27,2)</f>
        <v>0.96</v>
      </c>
      <c r="C66" s="126">
        <f t="shared" si="11"/>
        <v>0.96</v>
      </c>
      <c r="D66" s="126">
        <f t="shared" si="11"/>
        <v>0.98</v>
      </c>
      <c r="E66" s="126">
        <f t="shared" si="11"/>
        <v>1.1100000000000001</v>
      </c>
      <c r="F66" s="126">
        <f t="shared" si="11"/>
        <v>1.02</v>
      </c>
      <c r="G66" s="126">
        <f t="shared" si="11"/>
        <v>0.89</v>
      </c>
      <c r="H66" s="126">
        <f t="shared" si="11"/>
        <v>0.96</v>
      </c>
      <c r="I66" s="126">
        <f t="shared" si="11"/>
        <v>0.98</v>
      </c>
      <c r="J66" s="126">
        <f t="shared" si="11"/>
        <v>0.87</v>
      </c>
      <c r="K66" s="126">
        <f t="shared" si="11"/>
        <v>1.1200000000000001</v>
      </c>
      <c r="L66" s="126">
        <f t="shared" si="11"/>
        <v>0.97</v>
      </c>
      <c r="M66" s="126">
        <f t="shared" si="11"/>
        <v>1.08</v>
      </c>
      <c r="N66" s="126">
        <f t="shared" si="11"/>
        <v>2</v>
      </c>
      <c r="O66" s="126">
        <f t="shared" si="11"/>
        <v>0.34</v>
      </c>
      <c r="P66" s="126">
        <f t="shared" si="11"/>
        <v>1.08</v>
      </c>
      <c r="Q66" s="126">
        <f t="shared" si="11"/>
        <v>0.97</v>
      </c>
      <c r="R66" s="126">
        <f t="shared" si="11"/>
        <v>0.99</v>
      </c>
      <c r="S66" s="126">
        <f t="shared" si="11"/>
        <v>0.95</v>
      </c>
      <c r="T66" s="126">
        <f t="shared" si="11"/>
        <v>1.17</v>
      </c>
      <c r="U66" s="126">
        <f t="shared" si="11"/>
        <v>0.84</v>
      </c>
      <c r="V66" s="126">
        <f t="shared" si="11"/>
        <v>0.94</v>
      </c>
      <c r="W66" s="126">
        <f t="shared" si="11"/>
        <v>1.1399999999999999</v>
      </c>
      <c r="X66" s="126">
        <f t="shared" si="11"/>
        <v>0.95</v>
      </c>
      <c r="Y66" s="126">
        <f t="shared" si="11"/>
        <v>0.93</v>
      </c>
      <c r="Z66" s="195">
        <f t="shared" si="11"/>
        <v>0.93</v>
      </c>
    </row>
    <row r="67" spans="2:26" x14ac:dyDescent="0.35">
      <c r="B67" s="169">
        <f t="shared" ref="B67:Z67" si="12">+B28</f>
        <v>22</v>
      </c>
      <c r="C67" s="88">
        <f t="shared" si="12"/>
        <v>18</v>
      </c>
      <c r="D67" s="88">
        <f t="shared" si="12"/>
        <v>3</v>
      </c>
      <c r="E67" s="88">
        <f t="shared" si="12"/>
        <v>0</v>
      </c>
      <c r="F67" s="88">
        <f t="shared" si="12"/>
        <v>1</v>
      </c>
      <c r="G67" s="88">
        <f t="shared" si="12"/>
        <v>3</v>
      </c>
      <c r="H67" s="88">
        <f t="shared" si="12"/>
        <v>1</v>
      </c>
      <c r="I67" s="88">
        <f t="shared" si="12"/>
        <v>17</v>
      </c>
      <c r="J67" s="88">
        <f t="shared" si="12"/>
        <v>4</v>
      </c>
      <c r="K67" s="88">
        <f t="shared" si="12"/>
        <v>6</v>
      </c>
      <c r="L67" s="88">
        <f t="shared" si="12"/>
        <v>12</v>
      </c>
      <c r="M67" s="88">
        <f t="shared" si="12"/>
        <v>0</v>
      </c>
      <c r="N67" s="88">
        <f t="shared" si="12"/>
        <v>0</v>
      </c>
      <c r="O67" s="88">
        <f t="shared" si="12"/>
        <v>0</v>
      </c>
      <c r="P67" s="88">
        <f t="shared" si="12"/>
        <v>0</v>
      </c>
      <c r="Q67" s="88">
        <f t="shared" si="12"/>
        <v>22</v>
      </c>
      <c r="R67" s="88">
        <f t="shared" si="12"/>
        <v>10</v>
      </c>
      <c r="S67" s="88">
        <f t="shared" si="12"/>
        <v>12</v>
      </c>
      <c r="T67" s="88">
        <f t="shared" si="12"/>
        <v>16</v>
      </c>
      <c r="U67" s="88">
        <f t="shared" si="12"/>
        <v>6</v>
      </c>
      <c r="V67" s="88">
        <f t="shared" si="12"/>
        <v>0</v>
      </c>
      <c r="W67" s="88">
        <f t="shared" si="12"/>
        <v>0</v>
      </c>
      <c r="X67" s="88">
        <f t="shared" si="12"/>
        <v>3</v>
      </c>
      <c r="Y67" s="88">
        <f t="shared" si="12"/>
        <v>0</v>
      </c>
      <c r="Z67" s="114">
        <f t="shared" si="12"/>
        <v>19</v>
      </c>
    </row>
    <row r="68" spans="2:26" x14ac:dyDescent="0.35">
      <c r="B68" s="170">
        <f t="shared" ref="B68:Z68" si="13">ROUND(B17+B19+B21+B23+B25+B27+B29,2)</f>
        <v>1</v>
      </c>
      <c r="C68" s="126">
        <f t="shared" si="13"/>
        <v>1</v>
      </c>
      <c r="D68" s="126">
        <f t="shared" si="13"/>
        <v>1.04</v>
      </c>
      <c r="E68" s="126">
        <f t="shared" si="13"/>
        <v>1.1499999999999999</v>
      </c>
      <c r="F68" s="126">
        <f t="shared" si="13"/>
        <v>1.04</v>
      </c>
      <c r="G68" s="126">
        <f t="shared" si="13"/>
        <v>0.93</v>
      </c>
      <c r="H68" s="126">
        <f t="shared" si="13"/>
        <v>0.97</v>
      </c>
      <c r="I68" s="126">
        <f t="shared" si="13"/>
        <v>1.04</v>
      </c>
      <c r="J68" s="126">
        <f t="shared" si="13"/>
        <v>0.92</v>
      </c>
      <c r="K68" s="126">
        <f t="shared" si="13"/>
        <v>1.1499999999999999</v>
      </c>
      <c r="L68" s="126">
        <f t="shared" si="13"/>
        <v>1.06</v>
      </c>
      <c r="M68" s="126">
        <f t="shared" si="13"/>
        <v>1.1200000000000001</v>
      </c>
      <c r="N68" s="126">
        <f t="shared" si="13"/>
        <v>2</v>
      </c>
      <c r="O68" s="126">
        <f t="shared" si="13"/>
        <v>0.34</v>
      </c>
      <c r="P68" s="126">
        <f t="shared" si="13"/>
        <v>1.08</v>
      </c>
      <c r="Q68" s="126">
        <f t="shared" si="13"/>
        <v>1.02</v>
      </c>
      <c r="R68" s="126">
        <f t="shared" si="13"/>
        <v>1.03</v>
      </c>
      <c r="S68" s="126">
        <f t="shared" si="13"/>
        <v>1</v>
      </c>
      <c r="T68" s="126">
        <f t="shared" si="13"/>
        <v>1.24</v>
      </c>
      <c r="U68" s="126">
        <f t="shared" si="13"/>
        <v>0.86</v>
      </c>
      <c r="V68" s="126">
        <f t="shared" si="13"/>
        <v>0.94</v>
      </c>
      <c r="W68" s="126">
        <f t="shared" si="13"/>
        <v>1.1399999999999999</v>
      </c>
      <c r="X68" s="126">
        <f t="shared" si="13"/>
        <v>0.98</v>
      </c>
      <c r="Y68" s="126">
        <f t="shared" si="13"/>
        <v>0.93</v>
      </c>
      <c r="Z68" s="195">
        <f t="shared" si="13"/>
        <v>1.03</v>
      </c>
    </row>
    <row r="69" spans="2:26" x14ac:dyDescent="0.35">
      <c r="B69" s="169">
        <f t="shared" ref="B69:Z69" si="14">+B30</f>
        <v>150</v>
      </c>
      <c r="C69" s="88">
        <f t="shared" si="14"/>
        <v>137</v>
      </c>
      <c r="D69" s="88">
        <f t="shared" si="14"/>
        <v>12</v>
      </c>
      <c r="E69" s="88">
        <f t="shared" si="14"/>
        <v>1</v>
      </c>
      <c r="F69" s="88">
        <f t="shared" si="14"/>
        <v>16</v>
      </c>
      <c r="G69" s="88">
        <f t="shared" si="14"/>
        <v>24</v>
      </c>
      <c r="H69" s="88">
        <f t="shared" si="14"/>
        <v>27</v>
      </c>
      <c r="I69" s="88">
        <f t="shared" si="14"/>
        <v>84</v>
      </c>
      <c r="J69" s="88">
        <f t="shared" si="14"/>
        <v>32</v>
      </c>
      <c r="K69" s="88">
        <f t="shared" si="14"/>
        <v>40</v>
      </c>
      <c r="L69" s="88">
        <f t="shared" si="14"/>
        <v>42</v>
      </c>
      <c r="M69" s="88">
        <f t="shared" si="14"/>
        <v>0</v>
      </c>
      <c r="N69" s="88">
        <f t="shared" si="14"/>
        <v>0</v>
      </c>
      <c r="O69" s="88">
        <f t="shared" si="14"/>
        <v>5</v>
      </c>
      <c r="P69" s="88">
        <f t="shared" si="14"/>
        <v>5</v>
      </c>
      <c r="Q69" s="88">
        <f t="shared" si="14"/>
        <v>140</v>
      </c>
      <c r="R69" s="88">
        <f t="shared" si="14"/>
        <v>70</v>
      </c>
      <c r="S69" s="88">
        <f t="shared" si="14"/>
        <v>80</v>
      </c>
      <c r="T69" s="88">
        <f t="shared" si="14"/>
        <v>47</v>
      </c>
      <c r="U69" s="88">
        <f t="shared" si="14"/>
        <v>91</v>
      </c>
      <c r="V69" s="88">
        <f t="shared" si="14"/>
        <v>22</v>
      </c>
      <c r="W69" s="88">
        <f t="shared" si="14"/>
        <v>27</v>
      </c>
      <c r="X69" s="88">
        <f t="shared" si="14"/>
        <v>23</v>
      </c>
      <c r="Y69" s="88">
        <f t="shared" si="14"/>
        <v>12</v>
      </c>
      <c r="Z69" s="114">
        <f t="shared" si="14"/>
        <v>65</v>
      </c>
    </row>
    <row r="70" spans="2:26" x14ac:dyDescent="0.35">
      <c r="B70" s="170">
        <f t="shared" ref="B70:Z70" si="15">ROUND(B17+B19+B21+B23+B25+B27+B29+B31,2)</f>
        <v>1.3</v>
      </c>
      <c r="C70" s="126">
        <f t="shared" si="15"/>
        <v>1.31</v>
      </c>
      <c r="D70" s="126">
        <f t="shared" si="15"/>
        <v>1.25</v>
      </c>
      <c r="E70" s="126">
        <f t="shared" si="15"/>
        <v>1.33</v>
      </c>
      <c r="F70" s="126">
        <f t="shared" si="15"/>
        <v>1.32</v>
      </c>
      <c r="G70" s="126">
        <f t="shared" si="15"/>
        <v>1.25</v>
      </c>
      <c r="H70" s="126">
        <f t="shared" si="15"/>
        <v>1.31</v>
      </c>
      <c r="I70" s="126">
        <f t="shared" si="15"/>
        <v>1.33</v>
      </c>
      <c r="J70" s="126">
        <f t="shared" si="15"/>
        <v>1.33</v>
      </c>
      <c r="K70" s="126">
        <f t="shared" si="15"/>
        <v>1.35</v>
      </c>
      <c r="L70" s="126">
        <f t="shared" si="15"/>
        <v>1.35</v>
      </c>
      <c r="M70" s="126">
        <f t="shared" si="15"/>
        <v>1.26</v>
      </c>
      <c r="N70" s="126">
        <f t="shared" si="15"/>
        <v>2</v>
      </c>
      <c r="O70" s="126">
        <f t="shared" si="15"/>
        <v>1.04</v>
      </c>
      <c r="P70" s="126">
        <f t="shared" si="15"/>
        <v>1.28</v>
      </c>
      <c r="Q70" s="126">
        <f t="shared" si="15"/>
        <v>1.32</v>
      </c>
      <c r="R70" s="126">
        <f t="shared" si="15"/>
        <v>1.28</v>
      </c>
      <c r="S70" s="126">
        <f t="shared" si="15"/>
        <v>1.36</v>
      </c>
      <c r="T70" s="126">
        <f t="shared" si="15"/>
        <v>1.44</v>
      </c>
      <c r="U70" s="126">
        <f t="shared" si="15"/>
        <v>1.23</v>
      </c>
      <c r="V70" s="126">
        <f t="shared" si="15"/>
        <v>1.25</v>
      </c>
      <c r="W70" s="126">
        <f t="shared" si="15"/>
        <v>1.43</v>
      </c>
      <c r="X70" s="126">
        <f t="shared" si="15"/>
        <v>1.24</v>
      </c>
      <c r="Y70" s="126">
        <f t="shared" si="15"/>
        <v>1.17</v>
      </c>
      <c r="Z70" s="195">
        <f t="shared" si="15"/>
        <v>1.37</v>
      </c>
    </row>
    <row r="71" spans="2:26" x14ac:dyDescent="0.35">
      <c r="B71" s="169">
        <f t="shared" ref="B71:Z71" si="16">+B32</f>
        <v>20</v>
      </c>
      <c r="C71" s="88">
        <f t="shared" si="16"/>
        <v>16</v>
      </c>
      <c r="D71" s="88">
        <f t="shared" si="16"/>
        <v>4</v>
      </c>
      <c r="E71" s="88">
        <f t="shared" si="16"/>
        <v>0</v>
      </c>
      <c r="F71" s="88">
        <f t="shared" si="16"/>
        <v>3</v>
      </c>
      <c r="G71" s="88">
        <f t="shared" si="16"/>
        <v>3</v>
      </c>
      <c r="H71" s="88">
        <f t="shared" si="16"/>
        <v>3</v>
      </c>
      <c r="I71" s="88">
        <f t="shared" si="16"/>
        <v>11</v>
      </c>
      <c r="J71" s="88">
        <f t="shared" si="16"/>
        <v>2</v>
      </c>
      <c r="K71" s="88">
        <f t="shared" si="16"/>
        <v>7</v>
      </c>
      <c r="L71" s="88">
        <f t="shared" si="16"/>
        <v>7</v>
      </c>
      <c r="M71" s="88">
        <f t="shared" si="16"/>
        <v>0</v>
      </c>
      <c r="N71" s="88">
        <f t="shared" si="16"/>
        <v>0</v>
      </c>
      <c r="O71" s="88">
        <f t="shared" si="16"/>
        <v>0</v>
      </c>
      <c r="P71" s="88">
        <f t="shared" si="16"/>
        <v>1</v>
      </c>
      <c r="Q71" s="88">
        <f t="shared" si="16"/>
        <v>19</v>
      </c>
      <c r="R71" s="88">
        <f t="shared" si="16"/>
        <v>14</v>
      </c>
      <c r="S71" s="88">
        <f t="shared" si="16"/>
        <v>6</v>
      </c>
      <c r="T71" s="88">
        <f t="shared" si="16"/>
        <v>6</v>
      </c>
      <c r="U71" s="88">
        <f t="shared" si="16"/>
        <v>11</v>
      </c>
      <c r="V71" s="88">
        <f t="shared" si="16"/>
        <v>1</v>
      </c>
      <c r="W71" s="88">
        <f t="shared" si="16"/>
        <v>4</v>
      </c>
      <c r="X71" s="88">
        <f t="shared" si="16"/>
        <v>5</v>
      </c>
      <c r="Y71" s="88">
        <f t="shared" si="16"/>
        <v>6</v>
      </c>
      <c r="Z71" s="114">
        <f t="shared" si="16"/>
        <v>4</v>
      </c>
    </row>
    <row r="72" spans="2:26" x14ac:dyDescent="0.35">
      <c r="B72" s="170">
        <f t="shared" ref="B72:Z72" si="17">ROUND(B17+B19+B21+B23+B25+B27+B29+B31+B33,2)</f>
        <v>1.34</v>
      </c>
      <c r="C72" s="126">
        <f t="shared" si="17"/>
        <v>1.35</v>
      </c>
      <c r="D72" s="126">
        <f t="shared" si="17"/>
        <v>1.32</v>
      </c>
      <c r="E72" s="126">
        <f t="shared" si="17"/>
        <v>1.41</v>
      </c>
      <c r="F72" s="126">
        <f t="shared" si="17"/>
        <v>1.37</v>
      </c>
      <c r="G72" s="126">
        <f t="shared" si="17"/>
        <v>1.3</v>
      </c>
      <c r="H72" s="126">
        <f t="shared" si="17"/>
        <v>1.35</v>
      </c>
      <c r="I72" s="126">
        <f t="shared" si="17"/>
        <v>1.37</v>
      </c>
      <c r="J72" s="126">
        <f t="shared" si="17"/>
        <v>1.35</v>
      </c>
      <c r="K72" s="126">
        <f t="shared" si="17"/>
        <v>1.39</v>
      </c>
      <c r="L72" s="126">
        <f t="shared" si="17"/>
        <v>1.4</v>
      </c>
      <c r="M72" s="126">
        <f t="shared" si="17"/>
        <v>1.3</v>
      </c>
      <c r="N72" s="126">
        <f t="shared" si="17"/>
        <v>2</v>
      </c>
      <c r="O72" s="126">
        <f t="shared" si="17"/>
        <v>1.04</v>
      </c>
      <c r="P72" s="126">
        <f t="shared" si="17"/>
        <v>1.34</v>
      </c>
      <c r="Q72" s="126">
        <f t="shared" si="17"/>
        <v>1.36</v>
      </c>
      <c r="R72" s="126">
        <f t="shared" si="17"/>
        <v>1.33</v>
      </c>
      <c r="S72" s="126">
        <f t="shared" si="17"/>
        <v>1.38</v>
      </c>
      <c r="T72" s="126">
        <f t="shared" si="17"/>
        <v>1.46</v>
      </c>
      <c r="U72" s="126">
        <f t="shared" si="17"/>
        <v>1.27</v>
      </c>
      <c r="V72" s="126">
        <f t="shared" si="17"/>
        <v>1.26</v>
      </c>
      <c r="W72" s="126">
        <f t="shared" si="17"/>
        <v>1.47</v>
      </c>
      <c r="X72" s="126">
        <f t="shared" si="17"/>
        <v>1.3</v>
      </c>
      <c r="Y72" s="126">
        <f t="shared" si="17"/>
        <v>1.3</v>
      </c>
      <c r="Z72" s="195">
        <f t="shared" si="17"/>
        <v>1.39</v>
      </c>
    </row>
    <row r="73" spans="2:26" x14ac:dyDescent="0.35">
      <c r="B73" s="169">
        <f t="shared" ref="B73:Z73" si="18">+B34</f>
        <v>0</v>
      </c>
      <c r="C73" s="88">
        <f t="shared" si="18"/>
        <v>0</v>
      </c>
      <c r="D73" s="88">
        <f t="shared" si="18"/>
        <v>0</v>
      </c>
      <c r="E73" s="88">
        <f t="shared" si="18"/>
        <v>0</v>
      </c>
      <c r="F73" s="88">
        <f t="shared" si="18"/>
        <v>0</v>
      </c>
      <c r="G73" s="88">
        <f t="shared" si="18"/>
        <v>0</v>
      </c>
      <c r="H73" s="88">
        <f t="shared" si="18"/>
        <v>0</v>
      </c>
      <c r="I73" s="88">
        <f t="shared" si="18"/>
        <v>0</v>
      </c>
      <c r="J73" s="88">
        <f t="shared" si="18"/>
        <v>0</v>
      </c>
      <c r="K73" s="88">
        <f t="shared" si="18"/>
        <v>0</v>
      </c>
      <c r="L73" s="88">
        <f t="shared" si="18"/>
        <v>0</v>
      </c>
      <c r="M73" s="88">
        <f t="shared" si="18"/>
        <v>0</v>
      </c>
      <c r="N73" s="88">
        <f t="shared" si="18"/>
        <v>0</v>
      </c>
      <c r="O73" s="88">
        <f t="shared" si="18"/>
        <v>0</v>
      </c>
      <c r="P73" s="88">
        <f t="shared" si="18"/>
        <v>0</v>
      </c>
      <c r="Q73" s="88">
        <f t="shared" si="18"/>
        <v>0</v>
      </c>
      <c r="R73" s="88">
        <f t="shared" si="18"/>
        <v>0</v>
      </c>
      <c r="S73" s="88">
        <f t="shared" si="18"/>
        <v>0</v>
      </c>
      <c r="T73" s="88">
        <f t="shared" si="18"/>
        <v>0</v>
      </c>
      <c r="U73" s="88">
        <f t="shared" si="18"/>
        <v>0</v>
      </c>
      <c r="V73" s="88">
        <f t="shared" si="18"/>
        <v>0</v>
      </c>
      <c r="W73" s="88">
        <f t="shared" si="18"/>
        <v>0</v>
      </c>
      <c r="X73" s="88">
        <f t="shared" si="18"/>
        <v>0</v>
      </c>
      <c r="Y73" s="88">
        <f t="shared" si="18"/>
        <v>0</v>
      </c>
      <c r="Z73" s="114">
        <f t="shared" si="18"/>
        <v>0</v>
      </c>
    </row>
    <row r="74" spans="2:26" x14ac:dyDescent="0.35">
      <c r="B74" s="170">
        <f t="shared" ref="B74:Z74" si="19">ROUND(B17+B19+B21+B23+B25+B27+B29+B31+B33+B35,2)</f>
        <v>1.34</v>
      </c>
      <c r="C74" s="126">
        <f t="shared" si="19"/>
        <v>1.35</v>
      </c>
      <c r="D74" s="126">
        <f t="shared" si="19"/>
        <v>1.32</v>
      </c>
      <c r="E74" s="126">
        <f t="shared" si="19"/>
        <v>1.41</v>
      </c>
      <c r="F74" s="126">
        <f t="shared" si="19"/>
        <v>1.37</v>
      </c>
      <c r="G74" s="126">
        <f t="shared" si="19"/>
        <v>1.3</v>
      </c>
      <c r="H74" s="126">
        <f t="shared" si="19"/>
        <v>1.35</v>
      </c>
      <c r="I74" s="126">
        <f t="shared" si="19"/>
        <v>1.37</v>
      </c>
      <c r="J74" s="126">
        <f t="shared" si="19"/>
        <v>1.35</v>
      </c>
      <c r="K74" s="126">
        <f t="shared" si="19"/>
        <v>1.39</v>
      </c>
      <c r="L74" s="126">
        <f t="shared" si="19"/>
        <v>1.4</v>
      </c>
      <c r="M74" s="126">
        <f t="shared" si="19"/>
        <v>1.3</v>
      </c>
      <c r="N74" s="126">
        <f t="shared" si="19"/>
        <v>2</v>
      </c>
      <c r="O74" s="126">
        <f t="shared" si="19"/>
        <v>1.04</v>
      </c>
      <c r="P74" s="126">
        <f t="shared" si="19"/>
        <v>1.34</v>
      </c>
      <c r="Q74" s="126">
        <f t="shared" si="19"/>
        <v>1.36</v>
      </c>
      <c r="R74" s="126">
        <f t="shared" si="19"/>
        <v>1.33</v>
      </c>
      <c r="S74" s="126">
        <f t="shared" si="19"/>
        <v>1.38</v>
      </c>
      <c r="T74" s="126">
        <f t="shared" si="19"/>
        <v>1.46</v>
      </c>
      <c r="U74" s="126">
        <f t="shared" si="19"/>
        <v>1.27</v>
      </c>
      <c r="V74" s="126">
        <f t="shared" si="19"/>
        <v>1.26</v>
      </c>
      <c r="W74" s="126">
        <f t="shared" si="19"/>
        <v>1.47</v>
      </c>
      <c r="X74" s="126">
        <f t="shared" si="19"/>
        <v>1.3</v>
      </c>
      <c r="Y74" s="126">
        <f t="shared" si="19"/>
        <v>1.3</v>
      </c>
      <c r="Z74" s="195">
        <f t="shared" si="19"/>
        <v>1.39</v>
      </c>
    </row>
    <row r="75" spans="2:26" x14ac:dyDescent="0.35">
      <c r="B75" s="169">
        <f t="shared" ref="B75:Z75" si="20">+B36</f>
        <v>0</v>
      </c>
      <c r="C75" s="88">
        <f t="shared" si="20"/>
        <v>0</v>
      </c>
      <c r="D75" s="88">
        <f t="shared" si="20"/>
        <v>0</v>
      </c>
      <c r="E75" s="88">
        <f t="shared" si="20"/>
        <v>0</v>
      </c>
      <c r="F75" s="88">
        <f t="shared" si="20"/>
        <v>0</v>
      </c>
      <c r="G75" s="88">
        <f t="shared" si="20"/>
        <v>0</v>
      </c>
      <c r="H75" s="88">
        <f t="shared" si="20"/>
        <v>0</v>
      </c>
      <c r="I75" s="88">
        <f t="shared" si="20"/>
        <v>0</v>
      </c>
      <c r="J75" s="88">
        <f t="shared" si="20"/>
        <v>0</v>
      </c>
      <c r="K75" s="88">
        <f t="shared" si="20"/>
        <v>0</v>
      </c>
      <c r="L75" s="88">
        <f t="shared" si="20"/>
        <v>0</v>
      </c>
      <c r="M75" s="88">
        <f t="shared" si="20"/>
        <v>0</v>
      </c>
      <c r="N75" s="88">
        <f t="shared" si="20"/>
        <v>0</v>
      </c>
      <c r="O75" s="88">
        <f t="shared" si="20"/>
        <v>0</v>
      </c>
      <c r="P75" s="88">
        <f t="shared" si="20"/>
        <v>0</v>
      </c>
      <c r="Q75" s="88">
        <f t="shared" si="20"/>
        <v>0</v>
      </c>
      <c r="R75" s="88">
        <f t="shared" si="20"/>
        <v>0</v>
      </c>
      <c r="S75" s="88">
        <f t="shared" si="20"/>
        <v>0</v>
      </c>
      <c r="T75" s="88">
        <f t="shared" si="20"/>
        <v>0</v>
      </c>
      <c r="U75" s="88">
        <f t="shared" si="20"/>
        <v>0</v>
      </c>
      <c r="V75" s="88">
        <f t="shared" si="20"/>
        <v>0</v>
      </c>
      <c r="W75" s="88">
        <f t="shared" si="20"/>
        <v>0</v>
      </c>
      <c r="X75" s="88">
        <f t="shared" si="20"/>
        <v>0</v>
      </c>
      <c r="Y75" s="88">
        <f t="shared" si="20"/>
        <v>0</v>
      </c>
      <c r="Z75" s="114">
        <f t="shared" si="20"/>
        <v>0</v>
      </c>
    </row>
    <row r="76" spans="2:26" x14ac:dyDescent="0.35">
      <c r="B76" s="170">
        <f t="shared" ref="B76:Z76" si="21">ROUND(B17+B19+B21+B23+B25+B27+B29+B31+B33+B35+B37,2)</f>
        <v>1.34</v>
      </c>
      <c r="C76" s="126">
        <f t="shared" si="21"/>
        <v>1.35</v>
      </c>
      <c r="D76" s="126">
        <f t="shared" si="21"/>
        <v>1.32</v>
      </c>
      <c r="E76" s="126">
        <f t="shared" si="21"/>
        <v>1.41</v>
      </c>
      <c r="F76" s="126">
        <f t="shared" si="21"/>
        <v>1.37</v>
      </c>
      <c r="G76" s="126">
        <f t="shared" si="21"/>
        <v>1.3</v>
      </c>
      <c r="H76" s="126">
        <f t="shared" si="21"/>
        <v>1.35</v>
      </c>
      <c r="I76" s="126">
        <f t="shared" si="21"/>
        <v>1.37</v>
      </c>
      <c r="J76" s="126">
        <f t="shared" si="21"/>
        <v>1.35</v>
      </c>
      <c r="K76" s="126">
        <f t="shared" si="21"/>
        <v>1.39</v>
      </c>
      <c r="L76" s="126">
        <f t="shared" si="21"/>
        <v>1.4</v>
      </c>
      <c r="M76" s="126">
        <f t="shared" si="21"/>
        <v>1.3</v>
      </c>
      <c r="N76" s="126">
        <f t="shared" si="21"/>
        <v>2</v>
      </c>
      <c r="O76" s="126">
        <f t="shared" si="21"/>
        <v>1.04</v>
      </c>
      <c r="P76" s="126">
        <f t="shared" si="21"/>
        <v>1.34</v>
      </c>
      <c r="Q76" s="126">
        <f t="shared" si="21"/>
        <v>1.36</v>
      </c>
      <c r="R76" s="126">
        <f t="shared" si="21"/>
        <v>1.33</v>
      </c>
      <c r="S76" s="126">
        <f t="shared" si="21"/>
        <v>1.38</v>
      </c>
      <c r="T76" s="126">
        <f t="shared" si="21"/>
        <v>1.46</v>
      </c>
      <c r="U76" s="126">
        <f t="shared" si="21"/>
        <v>1.27</v>
      </c>
      <c r="V76" s="126">
        <f t="shared" si="21"/>
        <v>1.26</v>
      </c>
      <c r="W76" s="126">
        <f t="shared" si="21"/>
        <v>1.47</v>
      </c>
      <c r="X76" s="126">
        <f t="shared" si="21"/>
        <v>1.3</v>
      </c>
      <c r="Y76" s="126">
        <f t="shared" si="21"/>
        <v>1.3</v>
      </c>
      <c r="Z76" s="195">
        <f t="shared" si="21"/>
        <v>1.39</v>
      </c>
    </row>
    <row r="77" spans="2:26" x14ac:dyDescent="0.35">
      <c r="B77" s="169">
        <f t="shared" ref="B77:Z77" si="22">+B38</f>
        <v>0</v>
      </c>
      <c r="C77" s="88">
        <f t="shared" si="22"/>
        <v>0</v>
      </c>
      <c r="D77" s="88">
        <f t="shared" si="22"/>
        <v>0</v>
      </c>
      <c r="E77" s="88">
        <f t="shared" si="22"/>
        <v>0</v>
      </c>
      <c r="F77" s="88">
        <f t="shared" si="22"/>
        <v>0</v>
      </c>
      <c r="G77" s="88">
        <f t="shared" si="22"/>
        <v>0</v>
      </c>
      <c r="H77" s="88">
        <f t="shared" si="22"/>
        <v>0</v>
      </c>
      <c r="I77" s="88">
        <f t="shared" si="22"/>
        <v>0</v>
      </c>
      <c r="J77" s="88">
        <f t="shared" si="22"/>
        <v>0</v>
      </c>
      <c r="K77" s="88">
        <f t="shared" si="22"/>
        <v>0</v>
      </c>
      <c r="L77" s="88">
        <f t="shared" si="22"/>
        <v>0</v>
      </c>
      <c r="M77" s="88">
        <f t="shared" si="22"/>
        <v>0</v>
      </c>
      <c r="N77" s="88">
        <f t="shared" si="22"/>
        <v>0</v>
      </c>
      <c r="O77" s="88">
        <f t="shared" si="22"/>
        <v>0</v>
      </c>
      <c r="P77" s="88">
        <f t="shared" si="22"/>
        <v>0</v>
      </c>
      <c r="Q77" s="88">
        <f t="shared" si="22"/>
        <v>0</v>
      </c>
      <c r="R77" s="88">
        <f t="shared" si="22"/>
        <v>0</v>
      </c>
      <c r="S77" s="88">
        <f t="shared" si="22"/>
        <v>0</v>
      </c>
      <c r="T77" s="88">
        <f t="shared" si="22"/>
        <v>0</v>
      </c>
      <c r="U77" s="88">
        <f t="shared" si="22"/>
        <v>0</v>
      </c>
      <c r="V77" s="88">
        <f t="shared" si="22"/>
        <v>0</v>
      </c>
      <c r="W77" s="88">
        <f t="shared" si="22"/>
        <v>0</v>
      </c>
      <c r="X77" s="88">
        <f t="shared" si="22"/>
        <v>0</v>
      </c>
      <c r="Y77" s="88">
        <f t="shared" si="22"/>
        <v>0</v>
      </c>
      <c r="Z77" s="114">
        <f t="shared" si="22"/>
        <v>0</v>
      </c>
    </row>
    <row r="78" spans="2:26" x14ac:dyDescent="0.35">
      <c r="B78" s="170">
        <f t="shared" ref="B78:Z78" si="23">ROUND(B17+B19+B21+B23+B25+B27+B29+B31+B33+B35+B37+B39,2)</f>
        <v>1.34</v>
      </c>
      <c r="C78" s="126">
        <f t="shared" si="23"/>
        <v>1.35</v>
      </c>
      <c r="D78" s="126">
        <f t="shared" si="23"/>
        <v>1.32</v>
      </c>
      <c r="E78" s="126">
        <f t="shared" si="23"/>
        <v>1.41</v>
      </c>
      <c r="F78" s="126">
        <f t="shared" si="23"/>
        <v>1.37</v>
      </c>
      <c r="G78" s="126">
        <f t="shared" si="23"/>
        <v>1.3</v>
      </c>
      <c r="H78" s="126">
        <f t="shared" si="23"/>
        <v>1.35</v>
      </c>
      <c r="I78" s="126">
        <f t="shared" si="23"/>
        <v>1.37</v>
      </c>
      <c r="J78" s="126">
        <f t="shared" si="23"/>
        <v>1.35</v>
      </c>
      <c r="K78" s="126">
        <f t="shared" si="23"/>
        <v>1.39</v>
      </c>
      <c r="L78" s="126">
        <f t="shared" si="23"/>
        <v>1.4</v>
      </c>
      <c r="M78" s="126">
        <f t="shared" si="23"/>
        <v>1.3</v>
      </c>
      <c r="N78" s="126">
        <f t="shared" si="23"/>
        <v>2</v>
      </c>
      <c r="O78" s="126">
        <f t="shared" si="23"/>
        <v>1.04</v>
      </c>
      <c r="P78" s="126">
        <f t="shared" si="23"/>
        <v>1.34</v>
      </c>
      <c r="Q78" s="126">
        <f t="shared" si="23"/>
        <v>1.36</v>
      </c>
      <c r="R78" s="126">
        <f t="shared" si="23"/>
        <v>1.33</v>
      </c>
      <c r="S78" s="126">
        <f t="shared" si="23"/>
        <v>1.38</v>
      </c>
      <c r="T78" s="126">
        <f t="shared" si="23"/>
        <v>1.46</v>
      </c>
      <c r="U78" s="126">
        <f t="shared" si="23"/>
        <v>1.27</v>
      </c>
      <c r="V78" s="126">
        <f t="shared" si="23"/>
        <v>1.26</v>
      </c>
      <c r="W78" s="126">
        <f t="shared" si="23"/>
        <v>1.47</v>
      </c>
      <c r="X78" s="126">
        <f t="shared" si="23"/>
        <v>1.3</v>
      </c>
      <c r="Y78" s="126">
        <f t="shared" si="23"/>
        <v>1.3</v>
      </c>
      <c r="Z78" s="195">
        <f t="shared" si="23"/>
        <v>1.39</v>
      </c>
    </row>
    <row r="79" spans="2:26" x14ac:dyDescent="0.35">
      <c r="B79" s="169">
        <f t="shared" ref="B79:Z79" si="24">+B40</f>
        <v>0</v>
      </c>
      <c r="C79" s="88">
        <f t="shared" si="24"/>
        <v>0</v>
      </c>
      <c r="D79" s="88">
        <f t="shared" si="24"/>
        <v>0</v>
      </c>
      <c r="E79" s="88">
        <f t="shared" si="24"/>
        <v>0</v>
      </c>
      <c r="F79" s="88">
        <f t="shared" si="24"/>
        <v>0</v>
      </c>
      <c r="G79" s="88">
        <f t="shared" si="24"/>
        <v>0</v>
      </c>
      <c r="H79" s="88">
        <f t="shared" si="24"/>
        <v>0</v>
      </c>
      <c r="I79" s="88">
        <f t="shared" si="24"/>
        <v>0</v>
      </c>
      <c r="J79" s="88">
        <f t="shared" si="24"/>
        <v>0</v>
      </c>
      <c r="K79" s="88">
        <f t="shared" si="24"/>
        <v>0</v>
      </c>
      <c r="L79" s="88">
        <f t="shared" si="24"/>
        <v>0</v>
      </c>
      <c r="M79" s="88">
        <f t="shared" si="24"/>
        <v>0</v>
      </c>
      <c r="N79" s="88">
        <f t="shared" si="24"/>
        <v>0</v>
      </c>
      <c r="O79" s="88">
        <f t="shared" si="24"/>
        <v>0</v>
      </c>
      <c r="P79" s="88">
        <f t="shared" si="24"/>
        <v>0</v>
      </c>
      <c r="Q79" s="88">
        <f t="shared" si="24"/>
        <v>0</v>
      </c>
      <c r="R79" s="88">
        <f t="shared" si="24"/>
        <v>0</v>
      </c>
      <c r="S79" s="88">
        <f t="shared" si="24"/>
        <v>0</v>
      </c>
      <c r="T79" s="88">
        <f t="shared" si="24"/>
        <v>0</v>
      </c>
      <c r="U79" s="88">
        <f t="shared" si="24"/>
        <v>0</v>
      </c>
      <c r="V79" s="88">
        <f t="shared" si="24"/>
        <v>0</v>
      </c>
      <c r="W79" s="88">
        <f t="shared" si="24"/>
        <v>0</v>
      </c>
      <c r="X79" s="88">
        <f t="shared" si="24"/>
        <v>0</v>
      </c>
      <c r="Y79" s="88">
        <f t="shared" si="24"/>
        <v>0</v>
      </c>
      <c r="Z79" s="114">
        <f t="shared" si="24"/>
        <v>0</v>
      </c>
    </row>
    <row r="80" spans="2:26" x14ac:dyDescent="0.35">
      <c r="B80" s="170">
        <f t="shared" ref="B80:Z80" si="25">ROUND(B17+B19+B21+B23+B25+B27+B29+B31+B33+B35+B37+B39+B41,2)</f>
        <v>1.34</v>
      </c>
      <c r="C80" s="126">
        <f t="shared" si="25"/>
        <v>1.35</v>
      </c>
      <c r="D80" s="126">
        <f t="shared" si="25"/>
        <v>1.32</v>
      </c>
      <c r="E80" s="126">
        <f t="shared" si="25"/>
        <v>1.41</v>
      </c>
      <c r="F80" s="126">
        <f t="shared" si="25"/>
        <v>1.37</v>
      </c>
      <c r="G80" s="126">
        <f t="shared" si="25"/>
        <v>1.3</v>
      </c>
      <c r="H80" s="126">
        <f t="shared" si="25"/>
        <v>1.35</v>
      </c>
      <c r="I80" s="126">
        <f t="shared" si="25"/>
        <v>1.37</v>
      </c>
      <c r="J80" s="126">
        <f t="shared" si="25"/>
        <v>1.35</v>
      </c>
      <c r="K80" s="126">
        <f t="shared" si="25"/>
        <v>1.39</v>
      </c>
      <c r="L80" s="126">
        <f t="shared" si="25"/>
        <v>1.4</v>
      </c>
      <c r="M80" s="126">
        <f t="shared" si="25"/>
        <v>1.3</v>
      </c>
      <c r="N80" s="126">
        <f t="shared" si="25"/>
        <v>2</v>
      </c>
      <c r="O80" s="126">
        <f t="shared" si="25"/>
        <v>1.04</v>
      </c>
      <c r="P80" s="126">
        <f t="shared" si="25"/>
        <v>1.34</v>
      </c>
      <c r="Q80" s="126">
        <f t="shared" si="25"/>
        <v>1.36</v>
      </c>
      <c r="R80" s="126">
        <f t="shared" si="25"/>
        <v>1.33</v>
      </c>
      <c r="S80" s="126">
        <f t="shared" si="25"/>
        <v>1.38</v>
      </c>
      <c r="T80" s="126">
        <f t="shared" si="25"/>
        <v>1.46</v>
      </c>
      <c r="U80" s="126">
        <f t="shared" si="25"/>
        <v>1.27</v>
      </c>
      <c r="V80" s="126">
        <f t="shared" si="25"/>
        <v>1.26</v>
      </c>
      <c r="W80" s="126">
        <f t="shared" si="25"/>
        <v>1.47</v>
      </c>
      <c r="X80" s="126">
        <f t="shared" si="25"/>
        <v>1.3</v>
      </c>
      <c r="Y80" s="126">
        <f t="shared" si="25"/>
        <v>1.3</v>
      </c>
      <c r="Z80" s="195">
        <f t="shared" si="25"/>
        <v>1.39</v>
      </c>
    </row>
    <row r="81" spans="2:26" x14ac:dyDescent="0.35">
      <c r="B81" s="169">
        <f t="shared" ref="B81:Z81" si="26">+B42</f>
        <v>0</v>
      </c>
      <c r="C81" s="88">
        <f t="shared" si="26"/>
        <v>0</v>
      </c>
      <c r="D81" s="88">
        <f t="shared" si="26"/>
        <v>0</v>
      </c>
      <c r="E81" s="88">
        <f t="shared" si="26"/>
        <v>0</v>
      </c>
      <c r="F81" s="88">
        <f t="shared" si="26"/>
        <v>0</v>
      </c>
      <c r="G81" s="88">
        <f t="shared" si="26"/>
        <v>0</v>
      </c>
      <c r="H81" s="88">
        <f t="shared" si="26"/>
        <v>0</v>
      </c>
      <c r="I81" s="88">
        <f t="shared" si="26"/>
        <v>0</v>
      </c>
      <c r="J81" s="88">
        <f t="shared" si="26"/>
        <v>0</v>
      </c>
      <c r="K81" s="88">
        <f t="shared" si="26"/>
        <v>0</v>
      </c>
      <c r="L81" s="88">
        <f t="shared" si="26"/>
        <v>0</v>
      </c>
      <c r="M81" s="88">
        <f t="shared" si="26"/>
        <v>0</v>
      </c>
      <c r="N81" s="88">
        <f t="shared" si="26"/>
        <v>0</v>
      </c>
      <c r="O81" s="88">
        <f t="shared" si="26"/>
        <v>0</v>
      </c>
      <c r="P81" s="88">
        <f t="shared" si="26"/>
        <v>0</v>
      </c>
      <c r="Q81" s="88">
        <f t="shared" si="26"/>
        <v>0</v>
      </c>
      <c r="R81" s="88">
        <f t="shared" si="26"/>
        <v>0</v>
      </c>
      <c r="S81" s="88">
        <f t="shared" si="26"/>
        <v>0</v>
      </c>
      <c r="T81" s="88">
        <f t="shared" si="26"/>
        <v>0</v>
      </c>
      <c r="U81" s="88">
        <f t="shared" si="26"/>
        <v>0</v>
      </c>
      <c r="V81" s="88">
        <f t="shared" si="26"/>
        <v>0</v>
      </c>
      <c r="W81" s="88">
        <f t="shared" si="26"/>
        <v>0</v>
      </c>
      <c r="X81" s="88">
        <f t="shared" si="26"/>
        <v>0</v>
      </c>
      <c r="Y81" s="88">
        <f t="shared" si="26"/>
        <v>0</v>
      </c>
      <c r="Z81" s="114">
        <f t="shared" si="26"/>
        <v>0</v>
      </c>
    </row>
    <row r="82" spans="2:26" x14ac:dyDescent="0.35">
      <c r="B82" s="170">
        <f t="shared" ref="B82:Z82" si="27">ROUND(B17+B19+B21+B23+B25+B27+B29+B31+B33+B35+B37+B39+B41+B43,2)</f>
        <v>1.34</v>
      </c>
      <c r="C82" s="126">
        <f t="shared" si="27"/>
        <v>1.35</v>
      </c>
      <c r="D82" s="126">
        <f t="shared" si="27"/>
        <v>1.32</v>
      </c>
      <c r="E82" s="126">
        <f t="shared" si="27"/>
        <v>1.41</v>
      </c>
      <c r="F82" s="126">
        <f t="shared" si="27"/>
        <v>1.37</v>
      </c>
      <c r="G82" s="126">
        <f t="shared" si="27"/>
        <v>1.3</v>
      </c>
      <c r="H82" s="126">
        <f t="shared" si="27"/>
        <v>1.35</v>
      </c>
      <c r="I82" s="126">
        <f t="shared" si="27"/>
        <v>1.37</v>
      </c>
      <c r="J82" s="126">
        <f t="shared" si="27"/>
        <v>1.35</v>
      </c>
      <c r="K82" s="126">
        <f t="shared" si="27"/>
        <v>1.39</v>
      </c>
      <c r="L82" s="126">
        <f t="shared" si="27"/>
        <v>1.4</v>
      </c>
      <c r="M82" s="126">
        <f t="shared" si="27"/>
        <v>1.3</v>
      </c>
      <c r="N82" s="126">
        <f t="shared" si="27"/>
        <v>2</v>
      </c>
      <c r="O82" s="126">
        <f t="shared" si="27"/>
        <v>1.04</v>
      </c>
      <c r="P82" s="126">
        <f t="shared" si="27"/>
        <v>1.34</v>
      </c>
      <c r="Q82" s="126">
        <f t="shared" si="27"/>
        <v>1.36</v>
      </c>
      <c r="R82" s="126">
        <f t="shared" si="27"/>
        <v>1.33</v>
      </c>
      <c r="S82" s="126">
        <f t="shared" si="27"/>
        <v>1.38</v>
      </c>
      <c r="T82" s="126">
        <f t="shared" si="27"/>
        <v>1.46</v>
      </c>
      <c r="U82" s="126">
        <f t="shared" si="27"/>
        <v>1.27</v>
      </c>
      <c r="V82" s="126">
        <f t="shared" si="27"/>
        <v>1.26</v>
      </c>
      <c r="W82" s="126">
        <f t="shared" si="27"/>
        <v>1.47</v>
      </c>
      <c r="X82" s="126">
        <f t="shared" si="27"/>
        <v>1.3</v>
      </c>
      <c r="Y82" s="126">
        <f t="shared" si="27"/>
        <v>1.3</v>
      </c>
      <c r="Z82" s="195">
        <f t="shared" si="27"/>
        <v>1.39</v>
      </c>
    </row>
    <row r="83" spans="2:26" x14ac:dyDescent="0.35">
      <c r="B83" s="169">
        <f t="shared" ref="B83:Z83" si="28">+B44</f>
        <v>0</v>
      </c>
      <c r="C83" s="88">
        <f t="shared" si="28"/>
        <v>0</v>
      </c>
      <c r="D83" s="88">
        <f t="shared" si="28"/>
        <v>0</v>
      </c>
      <c r="E83" s="88">
        <f t="shared" si="28"/>
        <v>0</v>
      </c>
      <c r="F83" s="88">
        <f t="shared" si="28"/>
        <v>0</v>
      </c>
      <c r="G83" s="88">
        <f t="shared" si="28"/>
        <v>0</v>
      </c>
      <c r="H83" s="88">
        <f t="shared" si="28"/>
        <v>0</v>
      </c>
      <c r="I83" s="88">
        <f t="shared" si="28"/>
        <v>0</v>
      </c>
      <c r="J83" s="88">
        <f t="shared" si="28"/>
        <v>0</v>
      </c>
      <c r="K83" s="88">
        <f t="shared" si="28"/>
        <v>0</v>
      </c>
      <c r="L83" s="88">
        <f t="shared" si="28"/>
        <v>0</v>
      </c>
      <c r="M83" s="88">
        <f t="shared" si="28"/>
        <v>0</v>
      </c>
      <c r="N83" s="88">
        <f t="shared" si="28"/>
        <v>0</v>
      </c>
      <c r="O83" s="88">
        <f t="shared" si="28"/>
        <v>0</v>
      </c>
      <c r="P83" s="88">
        <f t="shared" si="28"/>
        <v>0</v>
      </c>
      <c r="Q83" s="88">
        <f t="shared" si="28"/>
        <v>0</v>
      </c>
      <c r="R83" s="88">
        <f t="shared" si="28"/>
        <v>0</v>
      </c>
      <c r="S83" s="88">
        <f t="shared" si="28"/>
        <v>0</v>
      </c>
      <c r="T83" s="88">
        <f t="shared" si="28"/>
        <v>0</v>
      </c>
      <c r="U83" s="88">
        <f t="shared" si="28"/>
        <v>0</v>
      </c>
      <c r="V83" s="88">
        <f t="shared" si="28"/>
        <v>0</v>
      </c>
      <c r="W83" s="88">
        <f t="shared" si="28"/>
        <v>0</v>
      </c>
      <c r="X83" s="88">
        <f t="shared" si="28"/>
        <v>0</v>
      </c>
      <c r="Y83" s="88">
        <f t="shared" si="28"/>
        <v>0</v>
      </c>
      <c r="Z83" s="114">
        <f t="shared" si="28"/>
        <v>0</v>
      </c>
    </row>
    <row r="84" spans="2:26" x14ac:dyDescent="0.35">
      <c r="B84" s="170">
        <f t="shared" ref="B84:Z84" si="29">ROUND(B17+B19+B21+B23+B25+B27+B29+B31+B33+B35+B37+B39+B41+B43+B45,2)</f>
        <v>1.34</v>
      </c>
      <c r="C84" s="126">
        <f t="shared" si="29"/>
        <v>1.35</v>
      </c>
      <c r="D84" s="126">
        <f t="shared" si="29"/>
        <v>1.32</v>
      </c>
      <c r="E84" s="126">
        <f t="shared" si="29"/>
        <v>1.41</v>
      </c>
      <c r="F84" s="126">
        <f t="shared" si="29"/>
        <v>1.37</v>
      </c>
      <c r="G84" s="126">
        <f t="shared" si="29"/>
        <v>1.3</v>
      </c>
      <c r="H84" s="126">
        <f t="shared" si="29"/>
        <v>1.35</v>
      </c>
      <c r="I84" s="126">
        <f t="shared" si="29"/>
        <v>1.37</v>
      </c>
      <c r="J84" s="126">
        <f t="shared" si="29"/>
        <v>1.35</v>
      </c>
      <c r="K84" s="126">
        <f t="shared" si="29"/>
        <v>1.39</v>
      </c>
      <c r="L84" s="126">
        <f t="shared" si="29"/>
        <v>1.4</v>
      </c>
      <c r="M84" s="126">
        <f t="shared" si="29"/>
        <v>1.3</v>
      </c>
      <c r="N84" s="126">
        <f t="shared" si="29"/>
        <v>2</v>
      </c>
      <c r="O84" s="126">
        <f t="shared" si="29"/>
        <v>1.04</v>
      </c>
      <c r="P84" s="126">
        <f t="shared" si="29"/>
        <v>1.34</v>
      </c>
      <c r="Q84" s="126">
        <f t="shared" si="29"/>
        <v>1.36</v>
      </c>
      <c r="R84" s="126">
        <f t="shared" si="29"/>
        <v>1.33</v>
      </c>
      <c r="S84" s="126">
        <f t="shared" si="29"/>
        <v>1.38</v>
      </c>
      <c r="T84" s="126">
        <f t="shared" si="29"/>
        <v>1.46</v>
      </c>
      <c r="U84" s="126">
        <f t="shared" si="29"/>
        <v>1.27</v>
      </c>
      <c r="V84" s="126">
        <f t="shared" si="29"/>
        <v>1.26</v>
      </c>
      <c r="W84" s="126">
        <f t="shared" si="29"/>
        <v>1.47</v>
      </c>
      <c r="X84" s="126">
        <f t="shared" si="29"/>
        <v>1.3</v>
      </c>
      <c r="Y84" s="126">
        <f t="shared" si="29"/>
        <v>1.3</v>
      </c>
      <c r="Z84" s="195">
        <f t="shared" si="29"/>
        <v>1.39</v>
      </c>
    </row>
    <row r="85" spans="2:26" x14ac:dyDescent="0.35">
      <c r="B85" s="169">
        <f t="shared" ref="B85:Z85" si="30">+B46</f>
        <v>0</v>
      </c>
      <c r="C85" s="88">
        <f t="shared" si="30"/>
        <v>0</v>
      </c>
      <c r="D85" s="88">
        <f t="shared" si="30"/>
        <v>0</v>
      </c>
      <c r="E85" s="88">
        <f t="shared" si="30"/>
        <v>0</v>
      </c>
      <c r="F85" s="88">
        <f t="shared" si="30"/>
        <v>0</v>
      </c>
      <c r="G85" s="88">
        <f t="shared" si="30"/>
        <v>0</v>
      </c>
      <c r="H85" s="88">
        <f t="shared" si="30"/>
        <v>0</v>
      </c>
      <c r="I85" s="88">
        <f t="shared" si="30"/>
        <v>0</v>
      </c>
      <c r="J85" s="88">
        <f t="shared" si="30"/>
        <v>0</v>
      </c>
      <c r="K85" s="88">
        <f t="shared" si="30"/>
        <v>0</v>
      </c>
      <c r="L85" s="88">
        <f t="shared" si="30"/>
        <v>0</v>
      </c>
      <c r="M85" s="88">
        <f t="shared" si="30"/>
        <v>0</v>
      </c>
      <c r="N85" s="88">
        <f t="shared" si="30"/>
        <v>0</v>
      </c>
      <c r="O85" s="88">
        <f t="shared" si="30"/>
        <v>0</v>
      </c>
      <c r="P85" s="88">
        <f t="shared" si="30"/>
        <v>0</v>
      </c>
      <c r="Q85" s="88">
        <f t="shared" si="30"/>
        <v>0</v>
      </c>
      <c r="R85" s="88">
        <f t="shared" si="30"/>
        <v>0</v>
      </c>
      <c r="S85" s="88">
        <f t="shared" si="30"/>
        <v>0</v>
      </c>
      <c r="T85" s="88">
        <f t="shared" si="30"/>
        <v>0</v>
      </c>
      <c r="U85" s="88">
        <f t="shared" si="30"/>
        <v>0</v>
      </c>
      <c r="V85" s="88">
        <f t="shared" si="30"/>
        <v>0</v>
      </c>
      <c r="W85" s="88">
        <f t="shared" si="30"/>
        <v>0</v>
      </c>
      <c r="X85" s="88">
        <f t="shared" si="30"/>
        <v>0</v>
      </c>
      <c r="Y85" s="88">
        <f t="shared" si="30"/>
        <v>0</v>
      </c>
      <c r="Z85" s="114">
        <f t="shared" si="30"/>
        <v>0</v>
      </c>
    </row>
    <row r="86" spans="2:26" x14ac:dyDescent="0.35">
      <c r="B86" s="170">
        <f t="shared" ref="B86:Z86" si="31">ROUND(B17+B19+B21+B23+B25+B27+B29+B31+B33+B35+B37+B39+B41+B43+B45+B47,2)</f>
        <v>1.34</v>
      </c>
      <c r="C86" s="126">
        <f t="shared" si="31"/>
        <v>1.35</v>
      </c>
      <c r="D86" s="126">
        <f t="shared" si="31"/>
        <v>1.32</v>
      </c>
      <c r="E86" s="126">
        <f t="shared" si="31"/>
        <v>1.41</v>
      </c>
      <c r="F86" s="126">
        <f t="shared" si="31"/>
        <v>1.37</v>
      </c>
      <c r="G86" s="126">
        <f t="shared" si="31"/>
        <v>1.3</v>
      </c>
      <c r="H86" s="126">
        <f t="shared" si="31"/>
        <v>1.35</v>
      </c>
      <c r="I86" s="126">
        <f t="shared" si="31"/>
        <v>1.37</v>
      </c>
      <c r="J86" s="126">
        <f t="shared" si="31"/>
        <v>1.35</v>
      </c>
      <c r="K86" s="126">
        <f t="shared" si="31"/>
        <v>1.39</v>
      </c>
      <c r="L86" s="126">
        <f t="shared" si="31"/>
        <v>1.4</v>
      </c>
      <c r="M86" s="126">
        <f t="shared" si="31"/>
        <v>1.3</v>
      </c>
      <c r="N86" s="126">
        <f t="shared" si="31"/>
        <v>2</v>
      </c>
      <c r="O86" s="126">
        <f t="shared" si="31"/>
        <v>1.04</v>
      </c>
      <c r="P86" s="126">
        <f t="shared" si="31"/>
        <v>1.34</v>
      </c>
      <c r="Q86" s="126">
        <f t="shared" si="31"/>
        <v>1.36</v>
      </c>
      <c r="R86" s="126">
        <f t="shared" si="31"/>
        <v>1.33</v>
      </c>
      <c r="S86" s="126">
        <f t="shared" si="31"/>
        <v>1.38</v>
      </c>
      <c r="T86" s="126">
        <f t="shared" si="31"/>
        <v>1.46</v>
      </c>
      <c r="U86" s="126">
        <f t="shared" si="31"/>
        <v>1.27</v>
      </c>
      <c r="V86" s="126">
        <f t="shared" si="31"/>
        <v>1.26</v>
      </c>
      <c r="W86" s="126">
        <f t="shared" si="31"/>
        <v>1.47</v>
      </c>
      <c r="X86" s="126">
        <f t="shared" si="31"/>
        <v>1.3</v>
      </c>
      <c r="Y86" s="126">
        <f t="shared" si="31"/>
        <v>1.3</v>
      </c>
      <c r="Z86" s="195">
        <f t="shared" si="31"/>
        <v>1.39</v>
      </c>
    </row>
    <row r="87" spans="2:26" ht="19" customHeight="1" x14ac:dyDescent="0.35">
      <c r="C87" s="121"/>
    </row>
    <row r="88" spans="2:26" x14ac:dyDescent="0.35">
      <c r="B88" s="196">
        <f t="shared" ref="B88:Z88" si="32">+B55</f>
        <v>77</v>
      </c>
      <c r="C88" s="197">
        <f t="shared" si="32"/>
        <v>69</v>
      </c>
      <c r="D88" s="197">
        <f t="shared" si="32"/>
        <v>7</v>
      </c>
      <c r="E88" s="197">
        <f t="shared" si="32"/>
        <v>1</v>
      </c>
      <c r="F88" s="197">
        <f t="shared" si="32"/>
        <v>12</v>
      </c>
      <c r="G88" s="197">
        <f t="shared" si="32"/>
        <v>11</v>
      </c>
      <c r="H88" s="197">
        <f t="shared" si="32"/>
        <v>16</v>
      </c>
      <c r="I88" s="197">
        <f t="shared" si="32"/>
        <v>39</v>
      </c>
      <c r="J88" s="197">
        <f t="shared" si="32"/>
        <v>5</v>
      </c>
      <c r="K88" s="197">
        <f t="shared" si="32"/>
        <v>33</v>
      </c>
      <c r="L88" s="197">
        <f t="shared" si="32"/>
        <v>35</v>
      </c>
      <c r="M88" s="197">
        <f t="shared" si="32"/>
        <v>0</v>
      </c>
      <c r="N88" s="197">
        <f t="shared" si="32"/>
        <v>0</v>
      </c>
      <c r="O88" s="197">
        <f t="shared" si="32"/>
        <v>0</v>
      </c>
      <c r="P88" s="197">
        <f t="shared" si="32"/>
        <v>2</v>
      </c>
      <c r="Q88" s="197">
        <f t="shared" si="32"/>
        <v>74</v>
      </c>
      <c r="R88" s="197">
        <f t="shared" si="32"/>
        <v>33</v>
      </c>
      <c r="S88" s="197">
        <f t="shared" si="32"/>
        <v>44</v>
      </c>
      <c r="T88" s="197">
        <f t="shared" si="32"/>
        <v>44</v>
      </c>
      <c r="U88" s="197">
        <f t="shared" si="32"/>
        <v>33</v>
      </c>
      <c r="V88" s="197">
        <f t="shared" si="32"/>
        <v>6</v>
      </c>
      <c r="W88" s="197">
        <f t="shared" si="32"/>
        <v>21</v>
      </c>
      <c r="X88" s="197">
        <f t="shared" si="32"/>
        <v>15</v>
      </c>
      <c r="Y88" s="197">
        <f t="shared" si="32"/>
        <v>8</v>
      </c>
      <c r="Z88" s="198">
        <f t="shared" si="32"/>
        <v>28</v>
      </c>
    </row>
    <row r="89" spans="2:26" x14ac:dyDescent="0.35">
      <c r="B89" s="199">
        <f t="shared" ref="B89:Z89" si="33">+B56</f>
        <v>0.15</v>
      </c>
      <c r="C89" s="200">
        <f t="shared" si="33"/>
        <v>0.16</v>
      </c>
      <c r="D89" s="200">
        <f t="shared" si="33"/>
        <v>0.12</v>
      </c>
      <c r="E89" s="200">
        <f t="shared" si="33"/>
        <v>0.19</v>
      </c>
      <c r="F89" s="200">
        <f t="shared" si="33"/>
        <v>0.22</v>
      </c>
      <c r="G89" s="200">
        <f t="shared" si="33"/>
        <v>0.14000000000000001</v>
      </c>
      <c r="H89" s="200">
        <f t="shared" si="33"/>
        <v>0.2</v>
      </c>
      <c r="I89" s="200">
        <f t="shared" si="33"/>
        <v>0.13</v>
      </c>
      <c r="J89" s="200">
        <f t="shared" si="33"/>
        <v>0.06</v>
      </c>
      <c r="K89" s="200">
        <f t="shared" si="33"/>
        <v>0.17</v>
      </c>
      <c r="L89" s="200">
        <f t="shared" si="33"/>
        <v>0.24</v>
      </c>
      <c r="M89" s="200">
        <f t="shared" si="33"/>
        <v>0</v>
      </c>
      <c r="N89" s="200">
        <f t="shared" si="33"/>
        <v>0</v>
      </c>
      <c r="O89" s="200">
        <f t="shared" si="33"/>
        <v>0.04</v>
      </c>
      <c r="P89" s="200">
        <f t="shared" si="33"/>
        <v>0.1</v>
      </c>
      <c r="Q89" s="200">
        <f t="shared" si="33"/>
        <v>0.16</v>
      </c>
      <c r="R89" s="200">
        <f t="shared" si="33"/>
        <v>0.12</v>
      </c>
      <c r="S89" s="200">
        <f t="shared" si="33"/>
        <v>0.2</v>
      </c>
      <c r="T89" s="200">
        <f t="shared" si="33"/>
        <v>0.19</v>
      </c>
      <c r="U89" s="200">
        <f t="shared" si="33"/>
        <v>0.14000000000000001</v>
      </c>
      <c r="V89" s="200">
        <f t="shared" si="33"/>
        <v>0.08</v>
      </c>
      <c r="W89" s="200">
        <f t="shared" si="33"/>
        <v>0.22</v>
      </c>
      <c r="X89" s="200">
        <f t="shared" si="33"/>
        <v>0.16</v>
      </c>
      <c r="Y89" s="200">
        <f t="shared" si="33"/>
        <v>0.16</v>
      </c>
      <c r="Z89" s="201">
        <f t="shared" si="33"/>
        <v>0.15</v>
      </c>
    </row>
    <row r="90" spans="2:26" x14ac:dyDescent="0.35">
      <c r="B90" s="196">
        <f t="shared" ref="B90:Z90" si="34">+B57</f>
        <v>87</v>
      </c>
      <c r="C90" s="197">
        <f t="shared" si="34"/>
        <v>79</v>
      </c>
      <c r="D90" s="197">
        <f t="shared" si="34"/>
        <v>7</v>
      </c>
      <c r="E90" s="197">
        <f t="shared" si="34"/>
        <v>1</v>
      </c>
      <c r="F90" s="197">
        <f t="shared" si="34"/>
        <v>12</v>
      </c>
      <c r="G90" s="197">
        <f t="shared" si="34"/>
        <v>11</v>
      </c>
      <c r="H90" s="197">
        <f t="shared" si="34"/>
        <v>13</v>
      </c>
      <c r="I90" s="197">
        <f t="shared" si="34"/>
        <v>51</v>
      </c>
      <c r="J90" s="197">
        <f t="shared" si="34"/>
        <v>8</v>
      </c>
      <c r="K90" s="197">
        <f t="shared" si="34"/>
        <v>48</v>
      </c>
      <c r="L90" s="197">
        <f t="shared" si="34"/>
        <v>26</v>
      </c>
      <c r="M90" s="197">
        <f t="shared" si="34"/>
        <v>0</v>
      </c>
      <c r="N90" s="197">
        <f t="shared" si="34"/>
        <v>0</v>
      </c>
      <c r="O90" s="197">
        <f t="shared" si="34"/>
        <v>1</v>
      </c>
      <c r="P90" s="197">
        <f t="shared" si="34"/>
        <v>6</v>
      </c>
      <c r="Q90" s="197">
        <f t="shared" si="34"/>
        <v>81</v>
      </c>
      <c r="R90" s="197">
        <f t="shared" si="34"/>
        <v>56</v>
      </c>
      <c r="S90" s="197">
        <f t="shared" si="34"/>
        <v>32</v>
      </c>
      <c r="T90" s="197">
        <f t="shared" si="34"/>
        <v>52</v>
      </c>
      <c r="U90" s="197">
        <f t="shared" si="34"/>
        <v>33</v>
      </c>
      <c r="V90" s="197">
        <f t="shared" si="34"/>
        <v>13</v>
      </c>
      <c r="W90" s="197">
        <f t="shared" si="34"/>
        <v>13</v>
      </c>
      <c r="X90" s="197">
        <f t="shared" si="34"/>
        <v>16</v>
      </c>
      <c r="Y90" s="197">
        <f t="shared" si="34"/>
        <v>10</v>
      </c>
      <c r="Z90" s="198">
        <f t="shared" si="34"/>
        <v>34</v>
      </c>
    </row>
    <row r="91" spans="2:26" x14ac:dyDescent="0.35">
      <c r="B91" s="199">
        <f t="shared" ref="B91:Z91" si="35">+B58-B56</f>
        <v>0.17</v>
      </c>
      <c r="C91" s="200">
        <f t="shared" si="35"/>
        <v>0.18000000000000002</v>
      </c>
      <c r="D91" s="200">
        <f t="shared" si="35"/>
        <v>0.12</v>
      </c>
      <c r="E91" s="200">
        <f t="shared" si="35"/>
        <v>0.2</v>
      </c>
      <c r="F91" s="200">
        <f t="shared" si="35"/>
        <v>0.22</v>
      </c>
      <c r="G91" s="200">
        <f t="shared" si="35"/>
        <v>0.14000000000000001</v>
      </c>
      <c r="H91" s="200">
        <f t="shared" si="35"/>
        <v>0.16999999999999998</v>
      </c>
      <c r="I91" s="200">
        <f t="shared" si="35"/>
        <v>0.18</v>
      </c>
      <c r="J91" s="200">
        <f t="shared" si="35"/>
        <v>0.11000000000000001</v>
      </c>
      <c r="K91" s="200">
        <f t="shared" si="35"/>
        <v>0.23999999999999996</v>
      </c>
      <c r="L91" s="200">
        <f t="shared" si="35"/>
        <v>0.18</v>
      </c>
      <c r="M91" s="200">
        <f t="shared" si="35"/>
        <v>0.04</v>
      </c>
      <c r="N91" s="200">
        <f t="shared" si="35"/>
        <v>0</v>
      </c>
      <c r="O91" s="200">
        <f t="shared" si="35"/>
        <v>0.13</v>
      </c>
      <c r="P91" s="200">
        <f t="shared" si="35"/>
        <v>0.22</v>
      </c>
      <c r="Q91" s="200">
        <f t="shared" si="35"/>
        <v>0.17</v>
      </c>
      <c r="R91" s="200">
        <f t="shared" si="35"/>
        <v>0.2</v>
      </c>
      <c r="S91" s="200">
        <f t="shared" si="35"/>
        <v>0.14000000000000001</v>
      </c>
      <c r="T91" s="200">
        <f t="shared" si="35"/>
        <v>0.22999999999999998</v>
      </c>
      <c r="U91" s="200">
        <f t="shared" si="35"/>
        <v>0.13</v>
      </c>
      <c r="V91" s="200">
        <f t="shared" si="35"/>
        <v>0.19</v>
      </c>
      <c r="W91" s="200">
        <f t="shared" si="35"/>
        <v>0.13999999999999999</v>
      </c>
      <c r="X91" s="200">
        <f t="shared" si="35"/>
        <v>0.18000000000000002</v>
      </c>
      <c r="Y91" s="200">
        <f t="shared" si="35"/>
        <v>0.19999999999999998</v>
      </c>
      <c r="Z91" s="201">
        <f t="shared" si="35"/>
        <v>0.18000000000000002</v>
      </c>
    </row>
    <row r="92" spans="2:26" x14ac:dyDescent="0.35">
      <c r="B92" s="196">
        <f t="shared" ref="B92:Z92" si="36">+B59</f>
        <v>81</v>
      </c>
      <c r="C92" s="197">
        <f t="shared" si="36"/>
        <v>67</v>
      </c>
      <c r="D92" s="197">
        <f t="shared" si="36"/>
        <v>14</v>
      </c>
      <c r="E92" s="197">
        <f t="shared" si="36"/>
        <v>1</v>
      </c>
      <c r="F92" s="197">
        <f t="shared" si="36"/>
        <v>12</v>
      </c>
      <c r="G92" s="197">
        <f t="shared" si="36"/>
        <v>12</v>
      </c>
      <c r="H92" s="197">
        <f t="shared" si="36"/>
        <v>13</v>
      </c>
      <c r="I92" s="197">
        <f t="shared" si="36"/>
        <v>44</v>
      </c>
      <c r="J92" s="197">
        <f t="shared" si="36"/>
        <v>16</v>
      </c>
      <c r="K92" s="197">
        <f t="shared" si="36"/>
        <v>35</v>
      </c>
      <c r="L92" s="197">
        <f t="shared" si="36"/>
        <v>20</v>
      </c>
      <c r="M92" s="197">
        <f t="shared" si="36"/>
        <v>0</v>
      </c>
      <c r="N92" s="197">
        <f t="shared" si="36"/>
        <v>0</v>
      </c>
      <c r="O92" s="197">
        <f t="shared" si="36"/>
        <v>0</v>
      </c>
      <c r="P92" s="197">
        <f t="shared" si="36"/>
        <v>3</v>
      </c>
      <c r="Q92" s="197">
        <f t="shared" si="36"/>
        <v>76</v>
      </c>
      <c r="R92" s="197">
        <f t="shared" si="36"/>
        <v>44</v>
      </c>
      <c r="S92" s="197">
        <f t="shared" si="36"/>
        <v>37</v>
      </c>
      <c r="T92" s="197">
        <f t="shared" si="36"/>
        <v>37</v>
      </c>
      <c r="U92" s="197">
        <f t="shared" si="36"/>
        <v>42</v>
      </c>
      <c r="V92" s="197">
        <f t="shared" si="36"/>
        <v>8</v>
      </c>
      <c r="W92" s="197">
        <f t="shared" si="36"/>
        <v>14</v>
      </c>
      <c r="X92" s="197">
        <f t="shared" si="36"/>
        <v>13</v>
      </c>
      <c r="Y92" s="197">
        <f t="shared" si="36"/>
        <v>10</v>
      </c>
      <c r="Z92" s="198">
        <f t="shared" si="36"/>
        <v>36</v>
      </c>
    </row>
    <row r="93" spans="2:26" x14ac:dyDescent="0.35">
      <c r="B93" s="199">
        <f t="shared" ref="B93:Z93" si="37">+B60-B58</f>
        <v>0.15999999999999998</v>
      </c>
      <c r="C93" s="200">
        <f t="shared" si="37"/>
        <v>0.14999999999999997</v>
      </c>
      <c r="D93" s="200">
        <f t="shared" si="37"/>
        <v>0.22999999999999998</v>
      </c>
      <c r="E93" s="200">
        <f t="shared" si="37"/>
        <v>0.10999999999999999</v>
      </c>
      <c r="F93" s="200">
        <f t="shared" si="37"/>
        <v>0.22000000000000003</v>
      </c>
      <c r="G93" s="200">
        <f t="shared" si="37"/>
        <v>0.16999999999999998</v>
      </c>
      <c r="H93" s="200">
        <f t="shared" si="37"/>
        <v>0.16000000000000003</v>
      </c>
      <c r="I93" s="200">
        <f t="shared" si="37"/>
        <v>0.15000000000000002</v>
      </c>
      <c r="J93" s="200">
        <f t="shared" si="37"/>
        <v>0.19999999999999998</v>
      </c>
      <c r="K93" s="200">
        <f t="shared" si="37"/>
        <v>0.16999999999999998</v>
      </c>
      <c r="L93" s="200">
        <f t="shared" si="37"/>
        <v>0.14000000000000007</v>
      </c>
      <c r="M93" s="200">
        <f t="shared" si="37"/>
        <v>0.04</v>
      </c>
      <c r="N93" s="200">
        <f t="shared" si="37"/>
        <v>1</v>
      </c>
      <c r="O93" s="200">
        <f t="shared" si="37"/>
        <v>3.999999999999998E-2</v>
      </c>
      <c r="P93" s="200">
        <f t="shared" si="37"/>
        <v>0.12</v>
      </c>
      <c r="Q93" s="200">
        <f t="shared" si="37"/>
        <v>0.15999999999999998</v>
      </c>
      <c r="R93" s="200">
        <f t="shared" si="37"/>
        <v>0.15999999999999998</v>
      </c>
      <c r="S93" s="200">
        <f t="shared" si="37"/>
        <v>0.16999999999999998</v>
      </c>
      <c r="T93" s="200">
        <f t="shared" si="37"/>
        <v>0.15999999999999998</v>
      </c>
      <c r="U93" s="200">
        <f t="shared" si="37"/>
        <v>0.16999999999999998</v>
      </c>
      <c r="V93" s="200">
        <f t="shared" si="37"/>
        <v>0.12</v>
      </c>
      <c r="W93" s="200">
        <f t="shared" si="37"/>
        <v>0.15000000000000002</v>
      </c>
      <c r="X93" s="200">
        <f t="shared" si="37"/>
        <v>0.14999999999999997</v>
      </c>
      <c r="Y93" s="200">
        <f t="shared" si="37"/>
        <v>0.20000000000000007</v>
      </c>
      <c r="Z93" s="201">
        <f t="shared" si="37"/>
        <v>0.19</v>
      </c>
    </row>
    <row r="94" spans="2:26" x14ac:dyDescent="0.35">
      <c r="B94" s="196">
        <f t="shared" ref="B94:Z94" si="38">+B61</f>
        <v>65</v>
      </c>
      <c r="C94" s="197">
        <f t="shared" si="38"/>
        <v>53</v>
      </c>
      <c r="D94" s="197">
        <f t="shared" si="38"/>
        <v>11</v>
      </c>
      <c r="E94" s="197">
        <f t="shared" si="38"/>
        <v>1</v>
      </c>
      <c r="F94" s="197">
        <f t="shared" si="38"/>
        <v>10</v>
      </c>
      <c r="G94" s="197">
        <f t="shared" si="38"/>
        <v>10</v>
      </c>
      <c r="H94" s="197">
        <f t="shared" si="38"/>
        <v>13</v>
      </c>
      <c r="I94" s="197">
        <f t="shared" si="38"/>
        <v>32</v>
      </c>
      <c r="J94" s="197">
        <f t="shared" si="38"/>
        <v>6</v>
      </c>
      <c r="K94" s="197">
        <f t="shared" si="38"/>
        <v>31</v>
      </c>
      <c r="L94" s="197">
        <f t="shared" si="38"/>
        <v>19</v>
      </c>
      <c r="M94" s="197">
        <f t="shared" si="38"/>
        <v>0</v>
      </c>
      <c r="N94" s="197">
        <f t="shared" si="38"/>
        <v>0</v>
      </c>
      <c r="O94" s="197">
        <f t="shared" si="38"/>
        <v>1</v>
      </c>
      <c r="P94" s="197">
        <f t="shared" si="38"/>
        <v>3</v>
      </c>
      <c r="Q94" s="197">
        <f t="shared" si="38"/>
        <v>61</v>
      </c>
      <c r="R94" s="197">
        <f t="shared" si="38"/>
        <v>39</v>
      </c>
      <c r="S94" s="197">
        <f t="shared" si="38"/>
        <v>25</v>
      </c>
      <c r="T94" s="197">
        <f t="shared" si="38"/>
        <v>42</v>
      </c>
      <c r="U94" s="197">
        <f t="shared" si="38"/>
        <v>22</v>
      </c>
      <c r="V94" s="197">
        <f t="shared" si="38"/>
        <v>13</v>
      </c>
      <c r="W94" s="197">
        <f t="shared" si="38"/>
        <v>13</v>
      </c>
      <c r="X94" s="197">
        <f t="shared" si="38"/>
        <v>16</v>
      </c>
      <c r="Y94" s="197">
        <f t="shared" si="38"/>
        <v>1</v>
      </c>
      <c r="Z94" s="198">
        <f t="shared" si="38"/>
        <v>21</v>
      </c>
    </row>
    <row r="95" spans="2:26" x14ac:dyDescent="0.35">
      <c r="B95" s="199">
        <f t="shared" ref="B95:Z95" si="39">+B62-B60</f>
        <v>0.13</v>
      </c>
      <c r="C95" s="200">
        <f t="shared" si="39"/>
        <v>0.12</v>
      </c>
      <c r="D95" s="200">
        <f t="shared" si="39"/>
        <v>0.19000000000000006</v>
      </c>
      <c r="E95" s="200">
        <f t="shared" si="39"/>
        <v>0.13</v>
      </c>
      <c r="F95" s="200">
        <f t="shared" si="39"/>
        <v>0.16999999999999993</v>
      </c>
      <c r="G95" s="200">
        <f t="shared" si="39"/>
        <v>0.12999999999999995</v>
      </c>
      <c r="H95" s="200">
        <f t="shared" si="39"/>
        <v>0.16999999999999993</v>
      </c>
      <c r="I95" s="200">
        <f t="shared" si="39"/>
        <v>0.10999999999999993</v>
      </c>
      <c r="J95" s="200">
        <f t="shared" si="39"/>
        <v>8.0000000000000016E-2</v>
      </c>
      <c r="K95" s="200">
        <f t="shared" si="39"/>
        <v>0.16000000000000003</v>
      </c>
      <c r="L95" s="200">
        <f t="shared" si="39"/>
        <v>0.12999999999999989</v>
      </c>
      <c r="M95" s="200">
        <f t="shared" si="39"/>
        <v>3.9999999999999994E-2</v>
      </c>
      <c r="N95" s="200">
        <f t="shared" si="39"/>
        <v>1</v>
      </c>
      <c r="O95" s="200">
        <f t="shared" si="39"/>
        <v>0.12000000000000002</v>
      </c>
      <c r="P95" s="200">
        <f t="shared" si="39"/>
        <v>0.10000000000000003</v>
      </c>
      <c r="Q95" s="200">
        <f t="shared" si="39"/>
        <v>0.13</v>
      </c>
      <c r="R95" s="200">
        <f t="shared" si="39"/>
        <v>0.14000000000000001</v>
      </c>
      <c r="S95" s="200">
        <f t="shared" si="39"/>
        <v>0.10999999999999999</v>
      </c>
      <c r="T95" s="200">
        <f t="shared" si="39"/>
        <v>0.18000000000000005</v>
      </c>
      <c r="U95" s="200">
        <f t="shared" si="39"/>
        <v>9.0000000000000024E-2</v>
      </c>
      <c r="V95" s="200">
        <f t="shared" si="39"/>
        <v>0.17999999999999994</v>
      </c>
      <c r="W95" s="200">
        <f t="shared" si="39"/>
        <v>0.14000000000000001</v>
      </c>
      <c r="X95" s="200">
        <f t="shared" si="39"/>
        <v>0.18000000000000005</v>
      </c>
      <c r="Y95" s="200">
        <f t="shared" si="39"/>
        <v>2.9999999999999916E-2</v>
      </c>
      <c r="Z95" s="201">
        <f t="shared" si="39"/>
        <v>0.10999999999999999</v>
      </c>
    </row>
    <row r="96" spans="2:26" x14ac:dyDescent="0.35">
      <c r="B96" s="196">
        <f t="shared" ref="B96:Z96" si="40">+B63</f>
        <v>118</v>
      </c>
      <c r="C96" s="197">
        <f t="shared" si="40"/>
        <v>106</v>
      </c>
      <c r="D96" s="197">
        <f t="shared" si="40"/>
        <v>11</v>
      </c>
      <c r="E96" s="197">
        <f t="shared" si="40"/>
        <v>1</v>
      </c>
      <c r="F96" s="197">
        <f t="shared" si="40"/>
        <v>9</v>
      </c>
      <c r="G96" s="197">
        <f t="shared" si="40"/>
        <v>17</v>
      </c>
      <c r="H96" s="197">
        <f t="shared" si="40"/>
        <v>14</v>
      </c>
      <c r="I96" s="197">
        <f t="shared" si="40"/>
        <v>78</v>
      </c>
      <c r="J96" s="197">
        <f t="shared" si="40"/>
        <v>27</v>
      </c>
      <c r="K96" s="197">
        <f t="shared" si="40"/>
        <v>46</v>
      </c>
      <c r="L96" s="197">
        <f t="shared" si="40"/>
        <v>23</v>
      </c>
      <c r="M96" s="197">
        <f t="shared" si="40"/>
        <v>1</v>
      </c>
      <c r="N96" s="197">
        <f t="shared" si="40"/>
        <v>0</v>
      </c>
      <c r="O96" s="197">
        <f t="shared" si="40"/>
        <v>0</v>
      </c>
      <c r="P96" s="197">
        <f t="shared" si="40"/>
        <v>8</v>
      </c>
      <c r="Q96" s="197">
        <f t="shared" si="40"/>
        <v>110</v>
      </c>
      <c r="R96" s="197">
        <f t="shared" si="40"/>
        <v>59</v>
      </c>
      <c r="S96" s="197">
        <f t="shared" si="40"/>
        <v>59</v>
      </c>
      <c r="T96" s="197">
        <f t="shared" si="40"/>
        <v>62</v>
      </c>
      <c r="U96" s="197">
        <f t="shared" si="40"/>
        <v>52</v>
      </c>
      <c r="V96" s="197">
        <f t="shared" si="40"/>
        <v>15</v>
      </c>
      <c r="W96" s="197">
        <f t="shared" si="40"/>
        <v>31</v>
      </c>
      <c r="X96" s="197">
        <f t="shared" si="40"/>
        <v>22</v>
      </c>
      <c r="Y96" s="197">
        <f t="shared" si="40"/>
        <v>8</v>
      </c>
      <c r="Z96" s="198">
        <f t="shared" si="40"/>
        <v>41</v>
      </c>
    </row>
    <row r="97" spans="2:26" x14ac:dyDescent="0.35">
      <c r="B97" s="199">
        <f t="shared" ref="B97:Z97" si="41">+B64-B62</f>
        <v>0.24</v>
      </c>
      <c r="C97" s="200">
        <f t="shared" si="41"/>
        <v>0.24</v>
      </c>
      <c r="D97" s="200">
        <f t="shared" si="41"/>
        <v>0.18999999999999995</v>
      </c>
      <c r="E97" s="200">
        <f t="shared" si="41"/>
        <v>0.19999999999999996</v>
      </c>
      <c r="F97" s="200">
        <f t="shared" si="41"/>
        <v>0.16000000000000003</v>
      </c>
      <c r="G97" s="200">
        <f t="shared" si="41"/>
        <v>0.22000000000000008</v>
      </c>
      <c r="H97" s="200">
        <f t="shared" si="41"/>
        <v>0.18000000000000005</v>
      </c>
      <c r="I97" s="200">
        <f t="shared" si="41"/>
        <v>0.27</v>
      </c>
      <c r="J97" s="200">
        <f t="shared" si="41"/>
        <v>0.36000000000000004</v>
      </c>
      <c r="K97" s="200">
        <f t="shared" si="41"/>
        <v>0.22999999999999998</v>
      </c>
      <c r="L97" s="200">
        <f t="shared" si="41"/>
        <v>0.16000000000000003</v>
      </c>
      <c r="M97" s="200">
        <f t="shared" si="41"/>
        <v>0.45999999999999996</v>
      </c>
      <c r="N97" s="200">
        <f t="shared" si="41"/>
        <v>0</v>
      </c>
      <c r="O97" s="200">
        <f t="shared" si="41"/>
        <v>1.0000000000000009E-2</v>
      </c>
      <c r="P97" s="200">
        <f t="shared" si="41"/>
        <v>0.30999999999999994</v>
      </c>
      <c r="Q97" s="200">
        <f t="shared" si="41"/>
        <v>0.24</v>
      </c>
      <c r="R97" s="200">
        <f t="shared" si="41"/>
        <v>0.20999999999999996</v>
      </c>
      <c r="S97" s="200">
        <f t="shared" si="41"/>
        <v>0.27</v>
      </c>
      <c r="T97" s="200">
        <f t="shared" si="41"/>
        <v>0.27</v>
      </c>
      <c r="U97" s="200">
        <f t="shared" si="41"/>
        <v>0.20999999999999996</v>
      </c>
      <c r="V97" s="200">
        <f t="shared" si="41"/>
        <v>0.20000000000000007</v>
      </c>
      <c r="W97" s="200">
        <f t="shared" si="41"/>
        <v>0.32999999999999996</v>
      </c>
      <c r="X97" s="200">
        <f t="shared" si="41"/>
        <v>0.25</v>
      </c>
      <c r="Y97" s="200">
        <f t="shared" si="41"/>
        <v>0.17000000000000004</v>
      </c>
      <c r="Z97" s="201">
        <f t="shared" si="41"/>
        <v>0.20999999999999996</v>
      </c>
    </row>
    <row r="98" spans="2:26" x14ac:dyDescent="0.35">
      <c r="B98" s="196">
        <f t="shared" ref="B98:Z98" si="42">+B65</f>
        <v>56</v>
      </c>
      <c r="C98" s="197">
        <f t="shared" si="42"/>
        <v>47</v>
      </c>
      <c r="D98" s="197">
        <f t="shared" si="42"/>
        <v>8</v>
      </c>
      <c r="E98" s="197">
        <f t="shared" si="42"/>
        <v>1</v>
      </c>
      <c r="F98" s="197">
        <f t="shared" si="42"/>
        <v>2</v>
      </c>
      <c r="G98" s="197">
        <f t="shared" si="42"/>
        <v>7</v>
      </c>
      <c r="H98" s="197">
        <f t="shared" si="42"/>
        <v>6</v>
      </c>
      <c r="I98" s="197">
        <f t="shared" si="42"/>
        <v>41</v>
      </c>
      <c r="J98" s="197">
        <f t="shared" si="42"/>
        <v>4</v>
      </c>
      <c r="K98" s="197">
        <f t="shared" si="42"/>
        <v>29</v>
      </c>
      <c r="L98" s="197">
        <f t="shared" si="42"/>
        <v>18</v>
      </c>
      <c r="M98" s="197">
        <f t="shared" si="42"/>
        <v>1</v>
      </c>
      <c r="N98" s="197">
        <f t="shared" si="42"/>
        <v>0</v>
      </c>
      <c r="O98" s="197">
        <f t="shared" si="42"/>
        <v>0</v>
      </c>
      <c r="P98" s="197">
        <f t="shared" si="42"/>
        <v>6</v>
      </c>
      <c r="Q98" s="197">
        <f t="shared" si="42"/>
        <v>50</v>
      </c>
      <c r="R98" s="197">
        <f t="shared" si="42"/>
        <v>43</v>
      </c>
      <c r="S98" s="197">
        <f t="shared" si="42"/>
        <v>12</v>
      </c>
      <c r="T98" s="197">
        <f t="shared" si="42"/>
        <v>32</v>
      </c>
      <c r="U98" s="197">
        <f t="shared" si="42"/>
        <v>24</v>
      </c>
      <c r="V98" s="197">
        <f t="shared" si="42"/>
        <v>12</v>
      </c>
      <c r="W98" s="197">
        <f t="shared" si="42"/>
        <v>16</v>
      </c>
      <c r="X98" s="197">
        <f t="shared" si="42"/>
        <v>3</v>
      </c>
      <c r="Y98" s="197">
        <f t="shared" si="42"/>
        <v>9</v>
      </c>
      <c r="Z98" s="198">
        <f t="shared" si="42"/>
        <v>17</v>
      </c>
    </row>
    <row r="99" spans="2:26" x14ac:dyDescent="0.35">
      <c r="B99" s="199">
        <f t="shared" ref="B99:Z99" si="43">+B66-B64</f>
        <v>0.10999999999999999</v>
      </c>
      <c r="C99" s="200">
        <f t="shared" si="43"/>
        <v>0.10999999999999999</v>
      </c>
      <c r="D99" s="200">
        <f t="shared" si="43"/>
        <v>0.13</v>
      </c>
      <c r="E99" s="200">
        <f t="shared" si="43"/>
        <v>0.28000000000000014</v>
      </c>
      <c r="F99" s="200">
        <f t="shared" si="43"/>
        <v>3.0000000000000027E-2</v>
      </c>
      <c r="G99" s="200">
        <f t="shared" si="43"/>
        <v>8.9999999999999969E-2</v>
      </c>
      <c r="H99" s="200">
        <f t="shared" si="43"/>
        <v>7.999999999999996E-2</v>
      </c>
      <c r="I99" s="200">
        <f t="shared" si="43"/>
        <v>0.14000000000000001</v>
      </c>
      <c r="J99" s="200">
        <f t="shared" si="43"/>
        <v>5.9999999999999942E-2</v>
      </c>
      <c r="K99" s="200">
        <f t="shared" si="43"/>
        <v>0.15000000000000013</v>
      </c>
      <c r="L99" s="200">
        <f t="shared" si="43"/>
        <v>0.12</v>
      </c>
      <c r="M99" s="200">
        <f t="shared" si="43"/>
        <v>0.50000000000000011</v>
      </c>
      <c r="N99" s="200">
        <f t="shared" si="43"/>
        <v>0</v>
      </c>
      <c r="O99" s="200">
        <f t="shared" si="43"/>
        <v>0</v>
      </c>
      <c r="P99" s="200">
        <f t="shared" si="43"/>
        <v>0.23000000000000009</v>
      </c>
      <c r="Q99" s="200">
        <f t="shared" si="43"/>
        <v>0.10999999999999999</v>
      </c>
      <c r="R99" s="200">
        <f t="shared" si="43"/>
        <v>0.16000000000000003</v>
      </c>
      <c r="S99" s="200">
        <f t="shared" si="43"/>
        <v>5.9999999999999942E-2</v>
      </c>
      <c r="T99" s="200">
        <f t="shared" si="43"/>
        <v>0.1399999999999999</v>
      </c>
      <c r="U99" s="200">
        <f t="shared" si="43"/>
        <v>9.9999999999999978E-2</v>
      </c>
      <c r="V99" s="200">
        <f t="shared" si="43"/>
        <v>0.16999999999999993</v>
      </c>
      <c r="W99" s="200">
        <f t="shared" si="43"/>
        <v>0.15999999999999992</v>
      </c>
      <c r="X99" s="200">
        <f t="shared" si="43"/>
        <v>2.9999999999999916E-2</v>
      </c>
      <c r="Y99" s="200">
        <f t="shared" si="43"/>
        <v>0.17000000000000004</v>
      </c>
      <c r="Z99" s="201">
        <f t="shared" si="43"/>
        <v>9.000000000000008E-2</v>
      </c>
    </row>
    <row r="100" spans="2:26" x14ac:dyDescent="0.35">
      <c r="B100" s="196">
        <f t="shared" ref="B100:Z100" si="44">+B67</f>
        <v>22</v>
      </c>
      <c r="C100" s="197">
        <f t="shared" si="44"/>
        <v>18</v>
      </c>
      <c r="D100" s="197">
        <f t="shared" si="44"/>
        <v>3</v>
      </c>
      <c r="E100" s="197">
        <f t="shared" si="44"/>
        <v>0</v>
      </c>
      <c r="F100" s="197">
        <f t="shared" si="44"/>
        <v>1</v>
      </c>
      <c r="G100" s="197">
        <f t="shared" si="44"/>
        <v>3</v>
      </c>
      <c r="H100" s="197">
        <f t="shared" si="44"/>
        <v>1</v>
      </c>
      <c r="I100" s="197">
        <f t="shared" si="44"/>
        <v>17</v>
      </c>
      <c r="J100" s="197">
        <f t="shared" si="44"/>
        <v>4</v>
      </c>
      <c r="K100" s="197">
        <f t="shared" si="44"/>
        <v>6</v>
      </c>
      <c r="L100" s="197">
        <f t="shared" si="44"/>
        <v>12</v>
      </c>
      <c r="M100" s="197">
        <f t="shared" si="44"/>
        <v>0</v>
      </c>
      <c r="N100" s="197">
        <f t="shared" si="44"/>
        <v>0</v>
      </c>
      <c r="O100" s="197">
        <f t="shared" si="44"/>
        <v>0</v>
      </c>
      <c r="P100" s="197">
        <f t="shared" si="44"/>
        <v>0</v>
      </c>
      <c r="Q100" s="197">
        <f t="shared" si="44"/>
        <v>22</v>
      </c>
      <c r="R100" s="197">
        <f t="shared" si="44"/>
        <v>10</v>
      </c>
      <c r="S100" s="197">
        <f t="shared" si="44"/>
        <v>12</v>
      </c>
      <c r="T100" s="197">
        <f t="shared" si="44"/>
        <v>16</v>
      </c>
      <c r="U100" s="197">
        <f t="shared" si="44"/>
        <v>6</v>
      </c>
      <c r="V100" s="197">
        <f t="shared" si="44"/>
        <v>0</v>
      </c>
      <c r="W100" s="197">
        <f t="shared" si="44"/>
        <v>0</v>
      </c>
      <c r="X100" s="197">
        <f t="shared" si="44"/>
        <v>3</v>
      </c>
      <c r="Y100" s="197">
        <f t="shared" si="44"/>
        <v>0</v>
      </c>
      <c r="Z100" s="198">
        <f t="shared" si="44"/>
        <v>19</v>
      </c>
    </row>
    <row r="101" spans="2:26" x14ac:dyDescent="0.35">
      <c r="B101" s="199">
        <f t="shared" ref="B101:Z101" si="45">+B68-B66</f>
        <v>4.0000000000000036E-2</v>
      </c>
      <c r="C101" s="200">
        <f t="shared" si="45"/>
        <v>4.0000000000000036E-2</v>
      </c>
      <c r="D101" s="200">
        <f t="shared" si="45"/>
        <v>6.0000000000000053E-2</v>
      </c>
      <c r="E101" s="200">
        <f t="shared" si="45"/>
        <v>3.9999999999999813E-2</v>
      </c>
      <c r="F101" s="200">
        <f t="shared" si="45"/>
        <v>2.0000000000000018E-2</v>
      </c>
      <c r="G101" s="200">
        <f t="shared" si="45"/>
        <v>4.0000000000000036E-2</v>
      </c>
      <c r="H101" s="200">
        <f t="shared" si="45"/>
        <v>1.0000000000000009E-2</v>
      </c>
      <c r="I101" s="200">
        <f t="shared" si="45"/>
        <v>6.0000000000000053E-2</v>
      </c>
      <c r="J101" s="200">
        <f t="shared" si="45"/>
        <v>5.0000000000000044E-2</v>
      </c>
      <c r="K101" s="200">
        <f t="shared" si="45"/>
        <v>2.9999999999999805E-2</v>
      </c>
      <c r="L101" s="200">
        <f t="shared" si="45"/>
        <v>9.000000000000008E-2</v>
      </c>
      <c r="M101" s="200">
        <f t="shared" si="45"/>
        <v>4.0000000000000036E-2</v>
      </c>
      <c r="N101" s="200">
        <f t="shared" si="45"/>
        <v>0</v>
      </c>
      <c r="O101" s="200">
        <f t="shared" si="45"/>
        <v>0</v>
      </c>
      <c r="P101" s="200">
        <f t="shared" si="45"/>
        <v>0</v>
      </c>
      <c r="Q101" s="200">
        <f t="shared" si="45"/>
        <v>5.0000000000000044E-2</v>
      </c>
      <c r="R101" s="200">
        <f t="shared" si="45"/>
        <v>4.0000000000000036E-2</v>
      </c>
      <c r="S101" s="200">
        <f t="shared" si="45"/>
        <v>5.0000000000000044E-2</v>
      </c>
      <c r="T101" s="200">
        <f t="shared" si="45"/>
        <v>7.0000000000000062E-2</v>
      </c>
      <c r="U101" s="200">
        <f t="shared" si="45"/>
        <v>2.0000000000000018E-2</v>
      </c>
      <c r="V101" s="200">
        <f t="shared" si="45"/>
        <v>0</v>
      </c>
      <c r="W101" s="200">
        <f t="shared" si="45"/>
        <v>0</v>
      </c>
      <c r="X101" s="200">
        <f t="shared" si="45"/>
        <v>3.0000000000000027E-2</v>
      </c>
      <c r="Y101" s="200">
        <f t="shared" si="45"/>
        <v>0</v>
      </c>
      <c r="Z101" s="201">
        <f t="shared" si="45"/>
        <v>9.9999999999999978E-2</v>
      </c>
    </row>
    <row r="102" spans="2:26" x14ac:dyDescent="0.35">
      <c r="B102" s="196">
        <f t="shared" ref="B102:Z102" si="46">+B69</f>
        <v>150</v>
      </c>
      <c r="C102" s="197">
        <f t="shared" si="46"/>
        <v>137</v>
      </c>
      <c r="D102" s="197">
        <f t="shared" si="46"/>
        <v>12</v>
      </c>
      <c r="E102" s="197">
        <f t="shared" si="46"/>
        <v>1</v>
      </c>
      <c r="F102" s="197">
        <f t="shared" si="46"/>
        <v>16</v>
      </c>
      <c r="G102" s="197">
        <f t="shared" si="46"/>
        <v>24</v>
      </c>
      <c r="H102" s="197">
        <f t="shared" si="46"/>
        <v>27</v>
      </c>
      <c r="I102" s="197">
        <f t="shared" si="46"/>
        <v>84</v>
      </c>
      <c r="J102" s="197">
        <f t="shared" si="46"/>
        <v>32</v>
      </c>
      <c r="K102" s="197">
        <f t="shared" si="46"/>
        <v>40</v>
      </c>
      <c r="L102" s="197">
        <f t="shared" si="46"/>
        <v>42</v>
      </c>
      <c r="M102" s="197">
        <f t="shared" si="46"/>
        <v>0</v>
      </c>
      <c r="N102" s="197">
        <f t="shared" si="46"/>
        <v>0</v>
      </c>
      <c r="O102" s="197">
        <f t="shared" si="46"/>
        <v>5</v>
      </c>
      <c r="P102" s="197">
        <f t="shared" si="46"/>
        <v>5</v>
      </c>
      <c r="Q102" s="197">
        <f t="shared" si="46"/>
        <v>140</v>
      </c>
      <c r="R102" s="197">
        <f t="shared" si="46"/>
        <v>70</v>
      </c>
      <c r="S102" s="197">
        <f t="shared" si="46"/>
        <v>80</v>
      </c>
      <c r="T102" s="197">
        <f t="shared" si="46"/>
        <v>47</v>
      </c>
      <c r="U102" s="197">
        <f t="shared" si="46"/>
        <v>91</v>
      </c>
      <c r="V102" s="197">
        <f t="shared" si="46"/>
        <v>22</v>
      </c>
      <c r="W102" s="197">
        <f t="shared" si="46"/>
        <v>27</v>
      </c>
      <c r="X102" s="197">
        <f t="shared" si="46"/>
        <v>23</v>
      </c>
      <c r="Y102" s="197">
        <f t="shared" si="46"/>
        <v>12</v>
      </c>
      <c r="Z102" s="198">
        <f t="shared" si="46"/>
        <v>65</v>
      </c>
    </row>
    <row r="103" spans="2:26" x14ac:dyDescent="0.35">
      <c r="B103" s="199">
        <f t="shared" ref="B103:Z103" si="47">+B70-B68</f>
        <v>0.30000000000000004</v>
      </c>
      <c r="C103" s="200">
        <f t="shared" si="47"/>
        <v>0.31000000000000005</v>
      </c>
      <c r="D103" s="200">
        <f t="shared" si="47"/>
        <v>0.20999999999999996</v>
      </c>
      <c r="E103" s="200">
        <f t="shared" si="47"/>
        <v>0.18000000000000016</v>
      </c>
      <c r="F103" s="200">
        <f t="shared" si="47"/>
        <v>0.28000000000000003</v>
      </c>
      <c r="G103" s="200">
        <f t="shared" si="47"/>
        <v>0.31999999999999995</v>
      </c>
      <c r="H103" s="200">
        <f t="shared" si="47"/>
        <v>0.34000000000000008</v>
      </c>
      <c r="I103" s="200">
        <f t="shared" si="47"/>
        <v>0.29000000000000004</v>
      </c>
      <c r="J103" s="200">
        <f t="shared" si="47"/>
        <v>0.41000000000000003</v>
      </c>
      <c r="K103" s="200">
        <f t="shared" si="47"/>
        <v>0.20000000000000018</v>
      </c>
      <c r="L103" s="200">
        <f t="shared" si="47"/>
        <v>0.29000000000000004</v>
      </c>
      <c r="M103" s="200">
        <f t="shared" si="47"/>
        <v>0.1399999999999999</v>
      </c>
      <c r="N103" s="200">
        <f t="shared" si="47"/>
        <v>0</v>
      </c>
      <c r="O103" s="200">
        <f t="shared" si="47"/>
        <v>0.7</v>
      </c>
      <c r="P103" s="200">
        <f t="shared" si="47"/>
        <v>0.19999999999999996</v>
      </c>
      <c r="Q103" s="200">
        <f t="shared" si="47"/>
        <v>0.30000000000000004</v>
      </c>
      <c r="R103" s="200">
        <f t="shared" si="47"/>
        <v>0.25</v>
      </c>
      <c r="S103" s="200">
        <f t="shared" si="47"/>
        <v>0.3600000000000001</v>
      </c>
      <c r="T103" s="200">
        <f t="shared" si="47"/>
        <v>0.19999999999999996</v>
      </c>
      <c r="U103" s="200">
        <f t="shared" si="47"/>
        <v>0.37</v>
      </c>
      <c r="V103" s="200">
        <f t="shared" si="47"/>
        <v>0.31000000000000005</v>
      </c>
      <c r="W103" s="200">
        <f t="shared" si="47"/>
        <v>0.29000000000000004</v>
      </c>
      <c r="X103" s="200">
        <f t="shared" si="47"/>
        <v>0.26</v>
      </c>
      <c r="Y103" s="200">
        <f t="shared" si="47"/>
        <v>0.23999999999999988</v>
      </c>
      <c r="Z103" s="201">
        <f t="shared" si="47"/>
        <v>0.34000000000000008</v>
      </c>
    </row>
    <row r="104" spans="2:26" x14ac:dyDescent="0.35">
      <c r="B104" s="196">
        <f t="shared" ref="B104:Z104" si="48">+B71</f>
        <v>20</v>
      </c>
      <c r="C104" s="197">
        <f t="shared" si="48"/>
        <v>16</v>
      </c>
      <c r="D104" s="197">
        <f t="shared" si="48"/>
        <v>4</v>
      </c>
      <c r="E104" s="197">
        <f t="shared" si="48"/>
        <v>0</v>
      </c>
      <c r="F104" s="197">
        <f t="shared" si="48"/>
        <v>3</v>
      </c>
      <c r="G104" s="197">
        <f t="shared" si="48"/>
        <v>3</v>
      </c>
      <c r="H104" s="197">
        <f t="shared" si="48"/>
        <v>3</v>
      </c>
      <c r="I104" s="197">
        <f t="shared" si="48"/>
        <v>11</v>
      </c>
      <c r="J104" s="197">
        <f t="shared" si="48"/>
        <v>2</v>
      </c>
      <c r="K104" s="197">
        <f t="shared" si="48"/>
        <v>7</v>
      </c>
      <c r="L104" s="197">
        <f t="shared" si="48"/>
        <v>7</v>
      </c>
      <c r="M104" s="197">
        <f t="shared" si="48"/>
        <v>0</v>
      </c>
      <c r="N104" s="197">
        <f t="shared" si="48"/>
        <v>0</v>
      </c>
      <c r="O104" s="197">
        <f t="shared" si="48"/>
        <v>0</v>
      </c>
      <c r="P104" s="197">
        <f t="shared" si="48"/>
        <v>1</v>
      </c>
      <c r="Q104" s="197">
        <f t="shared" si="48"/>
        <v>19</v>
      </c>
      <c r="R104" s="197">
        <f t="shared" si="48"/>
        <v>14</v>
      </c>
      <c r="S104" s="197">
        <f t="shared" si="48"/>
        <v>6</v>
      </c>
      <c r="T104" s="197">
        <f t="shared" si="48"/>
        <v>6</v>
      </c>
      <c r="U104" s="197">
        <f t="shared" si="48"/>
        <v>11</v>
      </c>
      <c r="V104" s="197">
        <f t="shared" si="48"/>
        <v>1</v>
      </c>
      <c r="W104" s="197">
        <f t="shared" si="48"/>
        <v>4</v>
      </c>
      <c r="X104" s="197">
        <f t="shared" si="48"/>
        <v>5</v>
      </c>
      <c r="Y104" s="197">
        <f t="shared" si="48"/>
        <v>6</v>
      </c>
      <c r="Z104" s="198">
        <f t="shared" si="48"/>
        <v>4</v>
      </c>
    </row>
    <row r="105" spans="2:26" x14ac:dyDescent="0.35">
      <c r="B105" s="199">
        <f t="shared" ref="B105:Z105" si="49">+B72-B70</f>
        <v>4.0000000000000036E-2</v>
      </c>
      <c r="C105" s="200">
        <f t="shared" si="49"/>
        <v>4.0000000000000036E-2</v>
      </c>
      <c r="D105" s="200">
        <f t="shared" si="49"/>
        <v>7.0000000000000062E-2</v>
      </c>
      <c r="E105" s="200">
        <f t="shared" si="49"/>
        <v>7.9999999999999849E-2</v>
      </c>
      <c r="F105" s="200">
        <f t="shared" si="49"/>
        <v>5.0000000000000044E-2</v>
      </c>
      <c r="G105" s="200">
        <f t="shared" si="49"/>
        <v>5.0000000000000044E-2</v>
      </c>
      <c r="H105" s="200">
        <f t="shared" si="49"/>
        <v>4.0000000000000036E-2</v>
      </c>
      <c r="I105" s="200">
        <f t="shared" si="49"/>
        <v>4.0000000000000036E-2</v>
      </c>
      <c r="J105" s="200">
        <f t="shared" si="49"/>
        <v>2.0000000000000018E-2</v>
      </c>
      <c r="K105" s="200">
        <f t="shared" si="49"/>
        <v>3.9999999999999813E-2</v>
      </c>
      <c r="L105" s="200">
        <f t="shared" si="49"/>
        <v>4.9999999999999822E-2</v>
      </c>
      <c r="M105" s="200">
        <f t="shared" si="49"/>
        <v>4.0000000000000036E-2</v>
      </c>
      <c r="N105" s="200">
        <f t="shared" si="49"/>
        <v>0</v>
      </c>
      <c r="O105" s="200">
        <f t="shared" si="49"/>
        <v>0</v>
      </c>
      <c r="P105" s="200">
        <f t="shared" si="49"/>
        <v>6.0000000000000053E-2</v>
      </c>
      <c r="Q105" s="200">
        <f t="shared" si="49"/>
        <v>4.0000000000000036E-2</v>
      </c>
      <c r="R105" s="200">
        <f t="shared" si="49"/>
        <v>5.0000000000000044E-2</v>
      </c>
      <c r="S105" s="200">
        <f t="shared" si="49"/>
        <v>1.9999999999999796E-2</v>
      </c>
      <c r="T105" s="200">
        <f t="shared" si="49"/>
        <v>2.0000000000000018E-2</v>
      </c>
      <c r="U105" s="200">
        <f t="shared" si="49"/>
        <v>4.0000000000000036E-2</v>
      </c>
      <c r="V105" s="200">
        <f t="shared" si="49"/>
        <v>1.0000000000000009E-2</v>
      </c>
      <c r="W105" s="200">
        <f t="shared" si="49"/>
        <v>4.0000000000000036E-2</v>
      </c>
      <c r="X105" s="200">
        <f t="shared" si="49"/>
        <v>6.0000000000000053E-2</v>
      </c>
      <c r="Y105" s="200">
        <f t="shared" si="49"/>
        <v>0.13000000000000012</v>
      </c>
      <c r="Z105" s="201">
        <f t="shared" si="49"/>
        <v>1.9999999999999796E-2</v>
      </c>
    </row>
    <row r="106" spans="2:26" x14ac:dyDescent="0.35">
      <c r="B106" s="196">
        <f t="shared" ref="B106:Z106" si="50">+B73</f>
        <v>0</v>
      </c>
      <c r="C106" s="197">
        <f t="shared" si="50"/>
        <v>0</v>
      </c>
      <c r="D106" s="197">
        <f t="shared" si="50"/>
        <v>0</v>
      </c>
      <c r="E106" s="197">
        <f t="shared" si="50"/>
        <v>0</v>
      </c>
      <c r="F106" s="197">
        <f t="shared" si="50"/>
        <v>0</v>
      </c>
      <c r="G106" s="197">
        <f t="shared" si="50"/>
        <v>0</v>
      </c>
      <c r="H106" s="197">
        <f t="shared" si="50"/>
        <v>0</v>
      </c>
      <c r="I106" s="197">
        <f t="shared" si="50"/>
        <v>0</v>
      </c>
      <c r="J106" s="197">
        <f t="shared" si="50"/>
        <v>0</v>
      </c>
      <c r="K106" s="197">
        <f t="shared" si="50"/>
        <v>0</v>
      </c>
      <c r="L106" s="197">
        <f t="shared" si="50"/>
        <v>0</v>
      </c>
      <c r="M106" s="197">
        <f t="shared" si="50"/>
        <v>0</v>
      </c>
      <c r="N106" s="197">
        <f t="shared" si="50"/>
        <v>0</v>
      </c>
      <c r="O106" s="197">
        <f t="shared" si="50"/>
        <v>0</v>
      </c>
      <c r="P106" s="197">
        <f t="shared" si="50"/>
        <v>0</v>
      </c>
      <c r="Q106" s="197">
        <f t="shared" si="50"/>
        <v>0</v>
      </c>
      <c r="R106" s="197">
        <f t="shared" si="50"/>
        <v>0</v>
      </c>
      <c r="S106" s="197">
        <f t="shared" si="50"/>
        <v>0</v>
      </c>
      <c r="T106" s="197">
        <f t="shared" si="50"/>
        <v>0</v>
      </c>
      <c r="U106" s="197">
        <f t="shared" si="50"/>
        <v>0</v>
      </c>
      <c r="V106" s="197">
        <f t="shared" si="50"/>
        <v>0</v>
      </c>
      <c r="W106" s="197">
        <f t="shared" si="50"/>
        <v>0</v>
      </c>
      <c r="X106" s="197">
        <f t="shared" si="50"/>
        <v>0</v>
      </c>
      <c r="Y106" s="197">
        <f t="shared" si="50"/>
        <v>0</v>
      </c>
      <c r="Z106" s="198">
        <f t="shared" si="50"/>
        <v>0</v>
      </c>
    </row>
    <row r="107" spans="2:26" x14ac:dyDescent="0.35">
      <c r="B107" s="199">
        <f t="shared" ref="B107:Z107" si="51">+B74-B72</f>
        <v>0</v>
      </c>
      <c r="C107" s="200">
        <f t="shared" si="51"/>
        <v>0</v>
      </c>
      <c r="D107" s="200">
        <f t="shared" si="51"/>
        <v>0</v>
      </c>
      <c r="E107" s="200">
        <f t="shared" si="51"/>
        <v>0</v>
      </c>
      <c r="F107" s="200">
        <f t="shared" si="51"/>
        <v>0</v>
      </c>
      <c r="G107" s="200">
        <f t="shared" si="51"/>
        <v>0</v>
      </c>
      <c r="H107" s="200">
        <f t="shared" si="51"/>
        <v>0</v>
      </c>
      <c r="I107" s="200">
        <f t="shared" si="51"/>
        <v>0</v>
      </c>
      <c r="J107" s="200">
        <f t="shared" si="51"/>
        <v>0</v>
      </c>
      <c r="K107" s="200">
        <f t="shared" si="51"/>
        <v>0</v>
      </c>
      <c r="L107" s="200">
        <f t="shared" si="51"/>
        <v>0</v>
      </c>
      <c r="M107" s="200">
        <f t="shared" si="51"/>
        <v>0</v>
      </c>
      <c r="N107" s="200">
        <f t="shared" si="51"/>
        <v>0</v>
      </c>
      <c r="O107" s="200">
        <f t="shared" si="51"/>
        <v>0</v>
      </c>
      <c r="P107" s="200">
        <f t="shared" si="51"/>
        <v>0</v>
      </c>
      <c r="Q107" s="200">
        <f t="shared" si="51"/>
        <v>0</v>
      </c>
      <c r="R107" s="200">
        <f t="shared" si="51"/>
        <v>0</v>
      </c>
      <c r="S107" s="200">
        <f t="shared" si="51"/>
        <v>0</v>
      </c>
      <c r="T107" s="200">
        <f t="shared" si="51"/>
        <v>0</v>
      </c>
      <c r="U107" s="200">
        <f t="shared" si="51"/>
        <v>0</v>
      </c>
      <c r="V107" s="200">
        <f t="shared" si="51"/>
        <v>0</v>
      </c>
      <c r="W107" s="200">
        <f t="shared" si="51"/>
        <v>0</v>
      </c>
      <c r="X107" s="200">
        <f t="shared" si="51"/>
        <v>0</v>
      </c>
      <c r="Y107" s="200">
        <f t="shared" si="51"/>
        <v>0</v>
      </c>
      <c r="Z107" s="201">
        <f t="shared" si="51"/>
        <v>0</v>
      </c>
    </row>
    <row r="108" spans="2:26" x14ac:dyDescent="0.35">
      <c r="B108" s="196">
        <f t="shared" ref="B108:Z108" si="52">+B75</f>
        <v>0</v>
      </c>
      <c r="C108" s="197">
        <f t="shared" si="52"/>
        <v>0</v>
      </c>
      <c r="D108" s="197">
        <f t="shared" si="52"/>
        <v>0</v>
      </c>
      <c r="E108" s="197">
        <f t="shared" si="52"/>
        <v>0</v>
      </c>
      <c r="F108" s="197">
        <f t="shared" si="52"/>
        <v>0</v>
      </c>
      <c r="G108" s="197">
        <f t="shared" si="52"/>
        <v>0</v>
      </c>
      <c r="H108" s="197">
        <f t="shared" si="52"/>
        <v>0</v>
      </c>
      <c r="I108" s="197">
        <f t="shared" si="52"/>
        <v>0</v>
      </c>
      <c r="J108" s="197">
        <f t="shared" si="52"/>
        <v>0</v>
      </c>
      <c r="K108" s="197">
        <f t="shared" si="52"/>
        <v>0</v>
      </c>
      <c r="L108" s="197">
        <f t="shared" si="52"/>
        <v>0</v>
      </c>
      <c r="M108" s="197">
        <f t="shared" si="52"/>
        <v>0</v>
      </c>
      <c r="N108" s="197">
        <f t="shared" si="52"/>
        <v>0</v>
      </c>
      <c r="O108" s="197">
        <f t="shared" si="52"/>
        <v>0</v>
      </c>
      <c r="P108" s="197">
        <f t="shared" si="52"/>
        <v>0</v>
      </c>
      <c r="Q108" s="197">
        <f t="shared" si="52"/>
        <v>0</v>
      </c>
      <c r="R108" s="197">
        <f t="shared" si="52"/>
        <v>0</v>
      </c>
      <c r="S108" s="197">
        <f t="shared" si="52"/>
        <v>0</v>
      </c>
      <c r="T108" s="197">
        <f t="shared" si="52"/>
        <v>0</v>
      </c>
      <c r="U108" s="197">
        <f t="shared" si="52"/>
        <v>0</v>
      </c>
      <c r="V108" s="197">
        <f t="shared" si="52"/>
        <v>0</v>
      </c>
      <c r="W108" s="197">
        <f t="shared" si="52"/>
        <v>0</v>
      </c>
      <c r="X108" s="197">
        <f t="shared" si="52"/>
        <v>0</v>
      </c>
      <c r="Y108" s="197">
        <f t="shared" si="52"/>
        <v>0</v>
      </c>
      <c r="Z108" s="198">
        <f t="shared" si="52"/>
        <v>0</v>
      </c>
    </row>
    <row r="109" spans="2:26" x14ac:dyDescent="0.35">
      <c r="B109" s="199">
        <f t="shared" ref="B109:Z109" si="53">+B76-B74</f>
        <v>0</v>
      </c>
      <c r="C109" s="200">
        <f t="shared" si="53"/>
        <v>0</v>
      </c>
      <c r="D109" s="200">
        <f t="shared" si="53"/>
        <v>0</v>
      </c>
      <c r="E109" s="200">
        <f t="shared" si="53"/>
        <v>0</v>
      </c>
      <c r="F109" s="200">
        <f t="shared" si="53"/>
        <v>0</v>
      </c>
      <c r="G109" s="200">
        <f t="shared" si="53"/>
        <v>0</v>
      </c>
      <c r="H109" s="200">
        <f t="shared" si="53"/>
        <v>0</v>
      </c>
      <c r="I109" s="200">
        <f t="shared" si="53"/>
        <v>0</v>
      </c>
      <c r="J109" s="200">
        <f t="shared" si="53"/>
        <v>0</v>
      </c>
      <c r="K109" s="200">
        <f t="shared" si="53"/>
        <v>0</v>
      </c>
      <c r="L109" s="200">
        <f t="shared" si="53"/>
        <v>0</v>
      </c>
      <c r="M109" s="200">
        <f t="shared" si="53"/>
        <v>0</v>
      </c>
      <c r="N109" s="200">
        <f t="shared" si="53"/>
        <v>0</v>
      </c>
      <c r="O109" s="200">
        <f t="shared" si="53"/>
        <v>0</v>
      </c>
      <c r="P109" s="200">
        <f t="shared" si="53"/>
        <v>0</v>
      </c>
      <c r="Q109" s="200">
        <f t="shared" si="53"/>
        <v>0</v>
      </c>
      <c r="R109" s="200">
        <f t="shared" si="53"/>
        <v>0</v>
      </c>
      <c r="S109" s="200">
        <f t="shared" si="53"/>
        <v>0</v>
      </c>
      <c r="T109" s="200">
        <f t="shared" si="53"/>
        <v>0</v>
      </c>
      <c r="U109" s="200">
        <f t="shared" si="53"/>
        <v>0</v>
      </c>
      <c r="V109" s="200">
        <f t="shared" si="53"/>
        <v>0</v>
      </c>
      <c r="W109" s="200">
        <f t="shared" si="53"/>
        <v>0</v>
      </c>
      <c r="X109" s="200">
        <f t="shared" si="53"/>
        <v>0</v>
      </c>
      <c r="Y109" s="200">
        <f t="shared" si="53"/>
        <v>0</v>
      </c>
      <c r="Z109" s="201">
        <f t="shared" si="53"/>
        <v>0</v>
      </c>
    </row>
    <row r="110" spans="2:26" x14ac:dyDescent="0.35">
      <c r="B110" s="196">
        <f t="shared" ref="B110:Z110" si="54">+B77</f>
        <v>0</v>
      </c>
      <c r="C110" s="197">
        <f t="shared" si="54"/>
        <v>0</v>
      </c>
      <c r="D110" s="197">
        <f t="shared" si="54"/>
        <v>0</v>
      </c>
      <c r="E110" s="197">
        <f t="shared" si="54"/>
        <v>0</v>
      </c>
      <c r="F110" s="197">
        <f t="shared" si="54"/>
        <v>0</v>
      </c>
      <c r="G110" s="197">
        <f t="shared" si="54"/>
        <v>0</v>
      </c>
      <c r="H110" s="197">
        <f t="shared" si="54"/>
        <v>0</v>
      </c>
      <c r="I110" s="197">
        <f t="shared" si="54"/>
        <v>0</v>
      </c>
      <c r="J110" s="197">
        <f t="shared" si="54"/>
        <v>0</v>
      </c>
      <c r="K110" s="197">
        <f t="shared" si="54"/>
        <v>0</v>
      </c>
      <c r="L110" s="197">
        <f t="shared" si="54"/>
        <v>0</v>
      </c>
      <c r="M110" s="197">
        <f t="shared" si="54"/>
        <v>0</v>
      </c>
      <c r="N110" s="197">
        <f t="shared" si="54"/>
        <v>0</v>
      </c>
      <c r="O110" s="197">
        <f t="shared" si="54"/>
        <v>0</v>
      </c>
      <c r="P110" s="197">
        <f t="shared" si="54"/>
        <v>0</v>
      </c>
      <c r="Q110" s="197">
        <f t="shared" si="54"/>
        <v>0</v>
      </c>
      <c r="R110" s="197">
        <f t="shared" si="54"/>
        <v>0</v>
      </c>
      <c r="S110" s="197">
        <f t="shared" si="54"/>
        <v>0</v>
      </c>
      <c r="T110" s="197">
        <f t="shared" si="54"/>
        <v>0</v>
      </c>
      <c r="U110" s="197">
        <f t="shared" si="54"/>
        <v>0</v>
      </c>
      <c r="V110" s="197">
        <f t="shared" si="54"/>
        <v>0</v>
      </c>
      <c r="W110" s="197">
        <f t="shared" si="54"/>
        <v>0</v>
      </c>
      <c r="X110" s="197">
        <f t="shared" si="54"/>
        <v>0</v>
      </c>
      <c r="Y110" s="197">
        <f t="shared" si="54"/>
        <v>0</v>
      </c>
      <c r="Z110" s="198">
        <f t="shared" si="54"/>
        <v>0</v>
      </c>
    </row>
    <row r="111" spans="2:26" x14ac:dyDescent="0.35">
      <c r="B111" s="199">
        <f t="shared" ref="B111:Z111" si="55">+B78-B76</f>
        <v>0</v>
      </c>
      <c r="C111" s="200">
        <f t="shared" si="55"/>
        <v>0</v>
      </c>
      <c r="D111" s="200">
        <f t="shared" si="55"/>
        <v>0</v>
      </c>
      <c r="E111" s="200">
        <f t="shared" si="55"/>
        <v>0</v>
      </c>
      <c r="F111" s="200">
        <f t="shared" si="55"/>
        <v>0</v>
      </c>
      <c r="G111" s="200">
        <f t="shared" si="55"/>
        <v>0</v>
      </c>
      <c r="H111" s="200">
        <f t="shared" si="55"/>
        <v>0</v>
      </c>
      <c r="I111" s="200">
        <f t="shared" si="55"/>
        <v>0</v>
      </c>
      <c r="J111" s="200">
        <f t="shared" si="55"/>
        <v>0</v>
      </c>
      <c r="K111" s="200">
        <f t="shared" si="55"/>
        <v>0</v>
      </c>
      <c r="L111" s="200">
        <f t="shared" si="55"/>
        <v>0</v>
      </c>
      <c r="M111" s="200">
        <f t="shared" si="55"/>
        <v>0</v>
      </c>
      <c r="N111" s="200">
        <f t="shared" si="55"/>
        <v>0</v>
      </c>
      <c r="O111" s="200">
        <f t="shared" si="55"/>
        <v>0</v>
      </c>
      <c r="P111" s="200">
        <f t="shared" si="55"/>
        <v>0</v>
      </c>
      <c r="Q111" s="200">
        <f t="shared" si="55"/>
        <v>0</v>
      </c>
      <c r="R111" s="200">
        <f t="shared" si="55"/>
        <v>0</v>
      </c>
      <c r="S111" s="200">
        <f t="shared" si="55"/>
        <v>0</v>
      </c>
      <c r="T111" s="200">
        <f t="shared" si="55"/>
        <v>0</v>
      </c>
      <c r="U111" s="200">
        <f t="shared" si="55"/>
        <v>0</v>
      </c>
      <c r="V111" s="200">
        <f t="shared" si="55"/>
        <v>0</v>
      </c>
      <c r="W111" s="200">
        <f t="shared" si="55"/>
        <v>0</v>
      </c>
      <c r="X111" s="200">
        <f t="shared" si="55"/>
        <v>0</v>
      </c>
      <c r="Y111" s="200">
        <f t="shared" si="55"/>
        <v>0</v>
      </c>
      <c r="Z111" s="201">
        <f t="shared" si="55"/>
        <v>0</v>
      </c>
    </row>
    <row r="112" spans="2:26" x14ac:dyDescent="0.35">
      <c r="B112" s="196">
        <f t="shared" ref="B112:Z112" si="56">+B79</f>
        <v>0</v>
      </c>
      <c r="C112" s="197">
        <f t="shared" si="56"/>
        <v>0</v>
      </c>
      <c r="D112" s="197">
        <f t="shared" si="56"/>
        <v>0</v>
      </c>
      <c r="E112" s="197">
        <f t="shared" si="56"/>
        <v>0</v>
      </c>
      <c r="F112" s="197">
        <f t="shared" si="56"/>
        <v>0</v>
      </c>
      <c r="G112" s="197">
        <f t="shared" si="56"/>
        <v>0</v>
      </c>
      <c r="H112" s="197">
        <f t="shared" si="56"/>
        <v>0</v>
      </c>
      <c r="I112" s="197">
        <f t="shared" si="56"/>
        <v>0</v>
      </c>
      <c r="J112" s="197">
        <f t="shared" si="56"/>
        <v>0</v>
      </c>
      <c r="K112" s="197">
        <f t="shared" si="56"/>
        <v>0</v>
      </c>
      <c r="L112" s="197">
        <f t="shared" si="56"/>
        <v>0</v>
      </c>
      <c r="M112" s="197">
        <f t="shared" si="56"/>
        <v>0</v>
      </c>
      <c r="N112" s="197">
        <f t="shared" si="56"/>
        <v>0</v>
      </c>
      <c r="O112" s="197">
        <f t="shared" si="56"/>
        <v>0</v>
      </c>
      <c r="P112" s="197">
        <f t="shared" si="56"/>
        <v>0</v>
      </c>
      <c r="Q112" s="197">
        <f t="shared" si="56"/>
        <v>0</v>
      </c>
      <c r="R112" s="197">
        <f t="shared" si="56"/>
        <v>0</v>
      </c>
      <c r="S112" s="197">
        <f t="shared" si="56"/>
        <v>0</v>
      </c>
      <c r="T112" s="197">
        <f t="shared" si="56"/>
        <v>0</v>
      </c>
      <c r="U112" s="197">
        <f t="shared" si="56"/>
        <v>0</v>
      </c>
      <c r="V112" s="197">
        <f t="shared" si="56"/>
        <v>0</v>
      </c>
      <c r="W112" s="197">
        <f t="shared" si="56"/>
        <v>0</v>
      </c>
      <c r="X112" s="197">
        <f t="shared" si="56"/>
        <v>0</v>
      </c>
      <c r="Y112" s="197">
        <f t="shared" si="56"/>
        <v>0</v>
      </c>
      <c r="Z112" s="198">
        <f t="shared" si="56"/>
        <v>0</v>
      </c>
    </row>
    <row r="113" spans="2:26" x14ac:dyDescent="0.35">
      <c r="B113" s="199">
        <f t="shared" ref="B113:Z113" si="57">+B80-B78</f>
        <v>0</v>
      </c>
      <c r="C113" s="200">
        <f t="shared" si="57"/>
        <v>0</v>
      </c>
      <c r="D113" s="200">
        <f t="shared" si="57"/>
        <v>0</v>
      </c>
      <c r="E113" s="200">
        <f t="shared" si="57"/>
        <v>0</v>
      </c>
      <c r="F113" s="200">
        <f t="shared" si="57"/>
        <v>0</v>
      </c>
      <c r="G113" s="200">
        <f t="shared" si="57"/>
        <v>0</v>
      </c>
      <c r="H113" s="200">
        <f t="shared" si="57"/>
        <v>0</v>
      </c>
      <c r="I113" s="200">
        <f t="shared" si="57"/>
        <v>0</v>
      </c>
      <c r="J113" s="200">
        <f t="shared" si="57"/>
        <v>0</v>
      </c>
      <c r="K113" s="200">
        <f t="shared" si="57"/>
        <v>0</v>
      </c>
      <c r="L113" s="200">
        <f t="shared" si="57"/>
        <v>0</v>
      </c>
      <c r="M113" s="200">
        <f t="shared" si="57"/>
        <v>0</v>
      </c>
      <c r="N113" s="200">
        <f t="shared" si="57"/>
        <v>0</v>
      </c>
      <c r="O113" s="200">
        <f t="shared" si="57"/>
        <v>0</v>
      </c>
      <c r="P113" s="200">
        <f t="shared" si="57"/>
        <v>0</v>
      </c>
      <c r="Q113" s="200">
        <f t="shared" si="57"/>
        <v>0</v>
      </c>
      <c r="R113" s="200">
        <f t="shared" si="57"/>
        <v>0</v>
      </c>
      <c r="S113" s="200">
        <f t="shared" si="57"/>
        <v>0</v>
      </c>
      <c r="T113" s="200">
        <f t="shared" si="57"/>
        <v>0</v>
      </c>
      <c r="U113" s="200">
        <f t="shared" si="57"/>
        <v>0</v>
      </c>
      <c r="V113" s="200">
        <f t="shared" si="57"/>
        <v>0</v>
      </c>
      <c r="W113" s="200">
        <f t="shared" si="57"/>
        <v>0</v>
      </c>
      <c r="X113" s="200">
        <f t="shared" si="57"/>
        <v>0</v>
      </c>
      <c r="Y113" s="200">
        <f t="shared" si="57"/>
        <v>0</v>
      </c>
      <c r="Z113" s="201">
        <f t="shared" si="57"/>
        <v>0</v>
      </c>
    </row>
    <row r="114" spans="2:26" x14ac:dyDescent="0.35">
      <c r="B114" s="196">
        <f t="shared" ref="B114:Z114" si="58">+B81</f>
        <v>0</v>
      </c>
      <c r="C114" s="197">
        <f t="shared" si="58"/>
        <v>0</v>
      </c>
      <c r="D114" s="197">
        <f t="shared" si="58"/>
        <v>0</v>
      </c>
      <c r="E114" s="197">
        <f t="shared" si="58"/>
        <v>0</v>
      </c>
      <c r="F114" s="197">
        <f t="shared" si="58"/>
        <v>0</v>
      </c>
      <c r="G114" s="197">
        <f t="shared" si="58"/>
        <v>0</v>
      </c>
      <c r="H114" s="197">
        <f t="shared" si="58"/>
        <v>0</v>
      </c>
      <c r="I114" s="197">
        <f t="shared" si="58"/>
        <v>0</v>
      </c>
      <c r="J114" s="197">
        <f t="shared" si="58"/>
        <v>0</v>
      </c>
      <c r="K114" s="197">
        <f t="shared" si="58"/>
        <v>0</v>
      </c>
      <c r="L114" s="197">
        <f t="shared" si="58"/>
        <v>0</v>
      </c>
      <c r="M114" s="197">
        <f t="shared" si="58"/>
        <v>0</v>
      </c>
      <c r="N114" s="197">
        <f t="shared" si="58"/>
        <v>0</v>
      </c>
      <c r="O114" s="197">
        <f t="shared" si="58"/>
        <v>0</v>
      </c>
      <c r="P114" s="197">
        <f t="shared" si="58"/>
        <v>0</v>
      </c>
      <c r="Q114" s="197">
        <f t="shared" si="58"/>
        <v>0</v>
      </c>
      <c r="R114" s="197">
        <f t="shared" si="58"/>
        <v>0</v>
      </c>
      <c r="S114" s="197">
        <f t="shared" si="58"/>
        <v>0</v>
      </c>
      <c r="T114" s="197">
        <f t="shared" si="58"/>
        <v>0</v>
      </c>
      <c r="U114" s="197">
        <f t="shared" si="58"/>
        <v>0</v>
      </c>
      <c r="V114" s="197">
        <f t="shared" si="58"/>
        <v>0</v>
      </c>
      <c r="W114" s="197">
        <f t="shared" si="58"/>
        <v>0</v>
      </c>
      <c r="X114" s="197">
        <f t="shared" si="58"/>
        <v>0</v>
      </c>
      <c r="Y114" s="197">
        <f t="shared" si="58"/>
        <v>0</v>
      </c>
      <c r="Z114" s="198">
        <f t="shared" si="58"/>
        <v>0</v>
      </c>
    </row>
    <row r="115" spans="2:26" x14ac:dyDescent="0.35">
      <c r="B115" s="199">
        <f t="shared" ref="B115:Z115" si="59">+B82-B80</f>
        <v>0</v>
      </c>
      <c r="C115" s="200">
        <f t="shared" si="59"/>
        <v>0</v>
      </c>
      <c r="D115" s="200">
        <f t="shared" si="59"/>
        <v>0</v>
      </c>
      <c r="E115" s="200">
        <f t="shared" si="59"/>
        <v>0</v>
      </c>
      <c r="F115" s="200">
        <f t="shared" si="59"/>
        <v>0</v>
      </c>
      <c r="G115" s="200">
        <f t="shared" si="59"/>
        <v>0</v>
      </c>
      <c r="H115" s="200">
        <f t="shared" si="59"/>
        <v>0</v>
      </c>
      <c r="I115" s="200">
        <f t="shared" si="59"/>
        <v>0</v>
      </c>
      <c r="J115" s="200">
        <f t="shared" si="59"/>
        <v>0</v>
      </c>
      <c r="K115" s="200">
        <f t="shared" si="59"/>
        <v>0</v>
      </c>
      <c r="L115" s="200">
        <f t="shared" si="59"/>
        <v>0</v>
      </c>
      <c r="M115" s="200">
        <f t="shared" si="59"/>
        <v>0</v>
      </c>
      <c r="N115" s="200">
        <f t="shared" si="59"/>
        <v>0</v>
      </c>
      <c r="O115" s="200">
        <f t="shared" si="59"/>
        <v>0</v>
      </c>
      <c r="P115" s="200">
        <f t="shared" si="59"/>
        <v>0</v>
      </c>
      <c r="Q115" s="200">
        <f t="shared" si="59"/>
        <v>0</v>
      </c>
      <c r="R115" s="200">
        <f t="shared" si="59"/>
        <v>0</v>
      </c>
      <c r="S115" s="200">
        <f t="shared" si="59"/>
        <v>0</v>
      </c>
      <c r="T115" s="200">
        <f t="shared" si="59"/>
        <v>0</v>
      </c>
      <c r="U115" s="200">
        <f t="shared" si="59"/>
        <v>0</v>
      </c>
      <c r="V115" s="200">
        <f t="shared" si="59"/>
        <v>0</v>
      </c>
      <c r="W115" s="200">
        <f t="shared" si="59"/>
        <v>0</v>
      </c>
      <c r="X115" s="200">
        <f t="shared" si="59"/>
        <v>0</v>
      </c>
      <c r="Y115" s="200">
        <f t="shared" si="59"/>
        <v>0</v>
      </c>
      <c r="Z115" s="201">
        <f t="shared" si="59"/>
        <v>0</v>
      </c>
    </row>
    <row r="116" spans="2:26" x14ac:dyDescent="0.35">
      <c r="B116" s="196">
        <f t="shared" ref="B116:Z116" si="60">+B83</f>
        <v>0</v>
      </c>
      <c r="C116" s="197">
        <f t="shared" si="60"/>
        <v>0</v>
      </c>
      <c r="D116" s="197">
        <f t="shared" si="60"/>
        <v>0</v>
      </c>
      <c r="E116" s="197">
        <f t="shared" si="60"/>
        <v>0</v>
      </c>
      <c r="F116" s="197">
        <f t="shared" si="60"/>
        <v>0</v>
      </c>
      <c r="G116" s="197">
        <f t="shared" si="60"/>
        <v>0</v>
      </c>
      <c r="H116" s="197">
        <f t="shared" si="60"/>
        <v>0</v>
      </c>
      <c r="I116" s="197">
        <f t="shared" si="60"/>
        <v>0</v>
      </c>
      <c r="J116" s="197">
        <f t="shared" si="60"/>
        <v>0</v>
      </c>
      <c r="K116" s="197">
        <f t="shared" si="60"/>
        <v>0</v>
      </c>
      <c r="L116" s="197">
        <f t="shared" si="60"/>
        <v>0</v>
      </c>
      <c r="M116" s="197">
        <f t="shared" si="60"/>
        <v>0</v>
      </c>
      <c r="N116" s="197">
        <f t="shared" si="60"/>
        <v>0</v>
      </c>
      <c r="O116" s="197">
        <f t="shared" si="60"/>
        <v>0</v>
      </c>
      <c r="P116" s="197">
        <f t="shared" si="60"/>
        <v>0</v>
      </c>
      <c r="Q116" s="197">
        <f t="shared" si="60"/>
        <v>0</v>
      </c>
      <c r="R116" s="197">
        <f t="shared" si="60"/>
        <v>0</v>
      </c>
      <c r="S116" s="197">
        <f t="shared" si="60"/>
        <v>0</v>
      </c>
      <c r="T116" s="197">
        <f t="shared" si="60"/>
        <v>0</v>
      </c>
      <c r="U116" s="197">
        <f t="shared" si="60"/>
        <v>0</v>
      </c>
      <c r="V116" s="197">
        <f t="shared" si="60"/>
        <v>0</v>
      </c>
      <c r="W116" s="197">
        <f t="shared" si="60"/>
        <v>0</v>
      </c>
      <c r="X116" s="197">
        <f t="shared" si="60"/>
        <v>0</v>
      </c>
      <c r="Y116" s="197">
        <f t="shared" si="60"/>
        <v>0</v>
      </c>
      <c r="Z116" s="198">
        <f t="shared" si="60"/>
        <v>0</v>
      </c>
    </row>
    <row r="117" spans="2:26" x14ac:dyDescent="0.35">
      <c r="B117" s="199">
        <f t="shared" ref="B117:Z117" si="61">+B84-B82</f>
        <v>0</v>
      </c>
      <c r="C117" s="200">
        <f t="shared" si="61"/>
        <v>0</v>
      </c>
      <c r="D117" s="200">
        <f t="shared" si="61"/>
        <v>0</v>
      </c>
      <c r="E117" s="200">
        <f t="shared" si="61"/>
        <v>0</v>
      </c>
      <c r="F117" s="200">
        <f t="shared" si="61"/>
        <v>0</v>
      </c>
      <c r="G117" s="200">
        <f t="shared" si="61"/>
        <v>0</v>
      </c>
      <c r="H117" s="200">
        <f t="shared" si="61"/>
        <v>0</v>
      </c>
      <c r="I117" s="200">
        <f t="shared" si="61"/>
        <v>0</v>
      </c>
      <c r="J117" s="200">
        <f t="shared" si="61"/>
        <v>0</v>
      </c>
      <c r="K117" s="200">
        <f t="shared" si="61"/>
        <v>0</v>
      </c>
      <c r="L117" s="200">
        <f t="shared" si="61"/>
        <v>0</v>
      </c>
      <c r="M117" s="200">
        <f t="shared" si="61"/>
        <v>0</v>
      </c>
      <c r="N117" s="200">
        <f t="shared" si="61"/>
        <v>0</v>
      </c>
      <c r="O117" s="200">
        <f t="shared" si="61"/>
        <v>0</v>
      </c>
      <c r="P117" s="200">
        <f t="shared" si="61"/>
        <v>0</v>
      </c>
      <c r="Q117" s="200">
        <f t="shared" si="61"/>
        <v>0</v>
      </c>
      <c r="R117" s="200">
        <f t="shared" si="61"/>
        <v>0</v>
      </c>
      <c r="S117" s="200">
        <f t="shared" si="61"/>
        <v>0</v>
      </c>
      <c r="T117" s="200">
        <f t="shared" si="61"/>
        <v>0</v>
      </c>
      <c r="U117" s="200">
        <f t="shared" si="61"/>
        <v>0</v>
      </c>
      <c r="V117" s="200">
        <f t="shared" si="61"/>
        <v>0</v>
      </c>
      <c r="W117" s="200">
        <f t="shared" si="61"/>
        <v>0</v>
      </c>
      <c r="X117" s="200">
        <f t="shared" si="61"/>
        <v>0</v>
      </c>
      <c r="Y117" s="200">
        <f t="shared" si="61"/>
        <v>0</v>
      </c>
      <c r="Z117" s="201">
        <f t="shared" si="61"/>
        <v>0</v>
      </c>
    </row>
    <row r="118" spans="2:26" x14ac:dyDescent="0.35">
      <c r="B118" s="196">
        <f t="shared" ref="B118:Z118" si="62">+B85</f>
        <v>0</v>
      </c>
      <c r="C118" s="197">
        <f t="shared" si="62"/>
        <v>0</v>
      </c>
      <c r="D118" s="197">
        <f t="shared" si="62"/>
        <v>0</v>
      </c>
      <c r="E118" s="197">
        <f t="shared" si="62"/>
        <v>0</v>
      </c>
      <c r="F118" s="197">
        <f t="shared" si="62"/>
        <v>0</v>
      </c>
      <c r="G118" s="197">
        <f t="shared" si="62"/>
        <v>0</v>
      </c>
      <c r="H118" s="197">
        <f t="shared" si="62"/>
        <v>0</v>
      </c>
      <c r="I118" s="197">
        <f t="shared" si="62"/>
        <v>0</v>
      </c>
      <c r="J118" s="197">
        <f t="shared" si="62"/>
        <v>0</v>
      </c>
      <c r="K118" s="197">
        <f t="shared" si="62"/>
        <v>0</v>
      </c>
      <c r="L118" s="197">
        <f t="shared" si="62"/>
        <v>0</v>
      </c>
      <c r="M118" s="197">
        <f t="shared" si="62"/>
        <v>0</v>
      </c>
      <c r="N118" s="197">
        <f t="shared" si="62"/>
        <v>0</v>
      </c>
      <c r="O118" s="197">
        <f t="shared" si="62"/>
        <v>0</v>
      </c>
      <c r="P118" s="197">
        <f t="shared" si="62"/>
        <v>0</v>
      </c>
      <c r="Q118" s="197">
        <f t="shared" si="62"/>
        <v>0</v>
      </c>
      <c r="R118" s="197">
        <f t="shared" si="62"/>
        <v>0</v>
      </c>
      <c r="S118" s="197">
        <f t="shared" si="62"/>
        <v>0</v>
      </c>
      <c r="T118" s="197">
        <f t="shared" si="62"/>
        <v>0</v>
      </c>
      <c r="U118" s="197">
        <f t="shared" si="62"/>
        <v>0</v>
      </c>
      <c r="V118" s="197">
        <f t="shared" si="62"/>
        <v>0</v>
      </c>
      <c r="W118" s="197">
        <f t="shared" si="62"/>
        <v>0</v>
      </c>
      <c r="X118" s="197">
        <f t="shared" si="62"/>
        <v>0</v>
      </c>
      <c r="Y118" s="197">
        <f t="shared" si="62"/>
        <v>0</v>
      </c>
      <c r="Z118" s="198">
        <f t="shared" si="62"/>
        <v>0</v>
      </c>
    </row>
    <row r="119" spans="2:26" x14ac:dyDescent="0.35">
      <c r="B119" s="199">
        <f t="shared" ref="B119:Z119" si="63">+B86-B84</f>
        <v>0</v>
      </c>
      <c r="C119" s="200">
        <f t="shared" si="63"/>
        <v>0</v>
      </c>
      <c r="D119" s="200">
        <f t="shared" si="63"/>
        <v>0</v>
      </c>
      <c r="E119" s="200">
        <f t="shared" si="63"/>
        <v>0</v>
      </c>
      <c r="F119" s="200">
        <f t="shared" si="63"/>
        <v>0</v>
      </c>
      <c r="G119" s="200">
        <f t="shared" si="63"/>
        <v>0</v>
      </c>
      <c r="H119" s="200">
        <f t="shared" si="63"/>
        <v>0</v>
      </c>
      <c r="I119" s="200">
        <f t="shared" si="63"/>
        <v>0</v>
      </c>
      <c r="J119" s="200">
        <f t="shared" si="63"/>
        <v>0</v>
      </c>
      <c r="K119" s="200">
        <f t="shared" si="63"/>
        <v>0</v>
      </c>
      <c r="L119" s="200">
        <f t="shared" si="63"/>
        <v>0</v>
      </c>
      <c r="M119" s="200">
        <f t="shared" si="63"/>
        <v>0</v>
      </c>
      <c r="N119" s="200">
        <f t="shared" si="63"/>
        <v>0</v>
      </c>
      <c r="O119" s="200">
        <f t="shared" si="63"/>
        <v>0</v>
      </c>
      <c r="P119" s="200">
        <f t="shared" si="63"/>
        <v>0</v>
      </c>
      <c r="Q119" s="200">
        <f t="shared" si="63"/>
        <v>0</v>
      </c>
      <c r="R119" s="200">
        <f t="shared" si="63"/>
        <v>0</v>
      </c>
      <c r="S119" s="200">
        <f t="shared" si="63"/>
        <v>0</v>
      </c>
      <c r="T119" s="200">
        <f t="shared" si="63"/>
        <v>0</v>
      </c>
      <c r="U119" s="200">
        <f t="shared" si="63"/>
        <v>0</v>
      </c>
      <c r="V119" s="200">
        <f t="shared" si="63"/>
        <v>0</v>
      </c>
      <c r="W119" s="200">
        <f t="shared" si="63"/>
        <v>0</v>
      </c>
      <c r="X119" s="200">
        <f t="shared" si="63"/>
        <v>0</v>
      </c>
      <c r="Y119" s="200">
        <f t="shared" si="63"/>
        <v>0</v>
      </c>
      <c r="Z119" s="201">
        <f t="shared" si="63"/>
        <v>0</v>
      </c>
    </row>
  </sheetData>
  <mergeCells count="17">
    <mergeCell ref="A30:A31"/>
    <mergeCell ref="A32:A33"/>
    <mergeCell ref="A20:A21"/>
    <mergeCell ref="A22:A23"/>
    <mergeCell ref="A24:A25"/>
    <mergeCell ref="A26:A27"/>
    <mergeCell ref="A28:A29"/>
    <mergeCell ref="T10:U10"/>
    <mergeCell ref="V10:Z10"/>
    <mergeCell ref="A10:A11"/>
    <mergeCell ref="A16:A17"/>
    <mergeCell ref="A18:A19"/>
    <mergeCell ref="C10:E10"/>
    <mergeCell ref="F10:I10"/>
    <mergeCell ref="J10:M10"/>
    <mergeCell ref="N10:Q10"/>
    <mergeCell ref="R10:S10"/>
  </mergeCells>
  <pageMargins left="0.7" right="0.7" top="0.75" bottom="0.75" header="0.511811023622047" footer="0.511811023622047"/>
  <pageSetup paperSize="9" orientation="portrait" useFirstPageNumber="1"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Feuil19"/>
  <dimension ref="A1:Z26"/>
  <sheetViews>
    <sheetView showGridLines="0" zoomScale="60" zoomScaleNormal="60" workbookViewId="0">
      <selection activeCell="A6" sqref="A6:XFD6"/>
    </sheetView>
  </sheetViews>
  <sheetFormatPr defaultColWidth="20.6328125" defaultRowHeight="19" customHeight="1" x14ac:dyDescent="0.35"/>
  <cols>
    <col min="1" max="1" width="100.6328125" style="104" customWidth="1"/>
    <col min="2" max="2" width="20.6328125" style="88" customWidth="1"/>
    <col min="3" max="16384" width="20.6328125" style="87"/>
  </cols>
  <sheetData>
    <row r="1" spans="1:26" x14ac:dyDescent="0.35">
      <c r="A1" s="183" t="s">
        <v>89</v>
      </c>
    </row>
    <row r="2" spans="1:26" x14ac:dyDescent="0.35">
      <c r="A2" s="104" t="s">
        <v>356</v>
      </c>
    </row>
    <row r="3" spans="1:26" s="88" customFormat="1" x14ac:dyDescent="0.35">
      <c r="A3" s="105" t="s">
        <v>357</v>
      </c>
    </row>
    <row r="4" spans="1:26" x14ac:dyDescent="0.35">
      <c r="A4" s="105" t="s">
        <v>317</v>
      </c>
    </row>
    <row r="6" spans="1:26" s="88" customFormat="1" ht="19" customHeight="1" x14ac:dyDescent="0.35">
      <c r="A6" s="122"/>
    </row>
    <row r="7" spans="1:26" x14ac:dyDescent="0.35">
      <c r="A7" s="184" t="s">
        <v>358</v>
      </c>
      <c r="B7" s="87"/>
    </row>
    <row r="8" spans="1:26" x14ac:dyDescent="0.35">
      <c r="A8" s="184" t="s">
        <v>7</v>
      </c>
    </row>
    <row r="9" spans="1:26" ht="19" customHeight="1" thickBot="1" x14ac:dyDescent="0.4">
      <c r="C9" s="107"/>
    </row>
    <row r="10" spans="1:26" s="89" customFormat="1" ht="57" customHeight="1" thickBot="1" x14ac:dyDescent="0.4">
      <c r="A10" s="251"/>
      <c r="B10" s="205" t="s">
        <v>319</v>
      </c>
      <c r="C10" s="257" t="s">
        <v>320</v>
      </c>
      <c r="D10" s="239"/>
      <c r="E10" s="239"/>
      <c r="F10" s="239" t="s">
        <v>321</v>
      </c>
      <c r="G10" s="239"/>
      <c r="H10" s="239"/>
      <c r="I10" s="239"/>
      <c r="J10" s="239" t="s">
        <v>322</v>
      </c>
      <c r="K10" s="239"/>
      <c r="L10" s="239"/>
      <c r="M10" s="239"/>
      <c r="N10" s="239" t="s">
        <v>323</v>
      </c>
      <c r="O10" s="239"/>
      <c r="P10" s="239"/>
      <c r="Q10" s="239"/>
      <c r="R10" s="239" t="s">
        <v>324</v>
      </c>
      <c r="S10" s="239"/>
      <c r="T10" s="239" t="s">
        <v>325</v>
      </c>
      <c r="U10" s="250"/>
      <c r="V10" s="239" t="s">
        <v>326</v>
      </c>
      <c r="W10" s="237"/>
      <c r="X10" s="237"/>
      <c r="Y10" s="237"/>
      <c r="Z10" s="240"/>
    </row>
    <row r="11" spans="1:26" s="129" customFormat="1" ht="18.75" customHeight="1" thickBot="1" x14ac:dyDescent="0.4">
      <c r="A11" s="252"/>
      <c r="B11" s="206" t="e">
        <f>#VALUE!</f>
        <v>#VALUE!</v>
      </c>
      <c r="C11" s="129" t="s">
        <v>327</v>
      </c>
      <c r="D11" s="132" t="s">
        <v>328</v>
      </c>
      <c r="E11" s="131" t="s">
        <v>329</v>
      </c>
      <c r="F11" s="132" t="s">
        <v>330</v>
      </c>
      <c r="G11" s="132" t="s">
        <v>331</v>
      </c>
      <c r="H11" s="132" t="s">
        <v>332</v>
      </c>
      <c r="I11" s="131" t="s">
        <v>333</v>
      </c>
      <c r="J11" s="132" t="s">
        <v>334</v>
      </c>
      <c r="K11" s="132" t="s">
        <v>335</v>
      </c>
      <c r="L11" s="132" t="s">
        <v>336</v>
      </c>
      <c r="M11" s="131" t="s">
        <v>337</v>
      </c>
      <c r="N11" s="132" t="s">
        <v>338</v>
      </c>
      <c r="O11" s="132" t="s">
        <v>339</v>
      </c>
      <c r="P11" s="132" t="s">
        <v>340</v>
      </c>
      <c r="Q11" s="131" t="s">
        <v>341</v>
      </c>
      <c r="R11" s="132" t="s">
        <v>125</v>
      </c>
      <c r="S11" s="131" t="s">
        <v>126</v>
      </c>
      <c r="T11" s="209" t="s">
        <v>125</v>
      </c>
      <c r="U11" s="131" t="s">
        <v>126</v>
      </c>
      <c r="V11" s="132" t="s">
        <v>342</v>
      </c>
      <c r="W11" s="132" t="s">
        <v>343</v>
      </c>
      <c r="X11" s="132" t="s">
        <v>344</v>
      </c>
      <c r="Y11" s="132" t="s">
        <v>345</v>
      </c>
      <c r="Z11" s="133" t="s">
        <v>346</v>
      </c>
    </row>
    <row r="12" spans="1:26" s="94" customFormat="1" ht="18.75" customHeight="1" x14ac:dyDescent="0.35">
      <c r="B12" s="115"/>
      <c r="C12" s="208"/>
    </row>
    <row r="13" spans="1:26" s="93" customFormat="1" ht="21" customHeight="1" x14ac:dyDescent="0.35">
      <c r="A13" s="253" t="s">
        <v>359</v>
      </c>
      <c r="B13" s="211">
        <v>0</v>
      </c>
      <c r="C13" s="135">
        <v>0</v>
      </c>
      <c r="D13" s="135">
        <v>0</v>
      </c>
      <c r="E13" s="135">
        <v>0</v>
      </c>
      <c r="F13" s="135">
        <v>0</v>
      </c>
      <c r="G13" s="135">
        <v>0</v>
      </c>
      <c r="H13" s="135">
        <v>0</v>
      </c>
      <c r="I13" s="135">
        <v>0</v>
      </c>
      <c r="J13" s="135">
        <v>0</v>
      </c>
      <c r="K13" s="135">
        <v>0</v>
      </c>
      <c r="L13" s="135">
        <v>0</v>
      </c>
      <c r="M13" s="135">
        <v>0</v>
      </c>
      <c r="N13" s="135">
        <v>0</v>
      </c>
      <c r="O13" s="135">
        <v>0</v>
      </c>
      <c r="P13" s="135">
        <v>0</v>
      </c>
      <c r="Q13" s="135">
        <v>0</v>
      </c>
      <c r="R13" s="135">
        <v>0</v>
      </c>
      <c r="S13" s="135">
        <v>0</v>
      </c>
      <c r="T13" s="135">
        <v>0</v>
      </c>
      <c r="U13" s="135">
        <v>0</v>
      </c>
      <c r="V13" s="135">
        <v>0</v>
      </c>
      <c r="W13" s="135">
        <v>0</v>
      </c>
      <c r="X13" s="135">
        <v>0</v>
      </c>
      <c r="Y13" s="135">
        <v>0</v>
      </c>
      <c r="Z13" s="137">
        <v>0</v>
      </c>
    </row>
    <row r="14" spans="1:26" ht="24" customHeight="1" x14ac:dyDescent="0.35">
      <c r="A14" s="254"/>
      <c r="B14" s="4"/>
      <c r="C14" s="114"/>
      <c r="D14" s="88"/>
      <c r="E14" s="88"/>
      <c r="F14" s="88"/>
      <c r="G14" s="88"/>
      <c r="H14" s="88"/>
      <c r="I14" s="88"/>
      <c r="J14" s="88"/>
      <c r="K14" s="88"/>
      <c r="L14" s="88"/>
      <c r="M14" s="88"/>
      <c r="N14" s="88"/>
      <c r="O14" s="88"/>
      <c r="P14" s="88"/>
      <c r="Q14" s="88"/>
      <c r="R14" s="88"/>
      <c r="S14" s="88"/>
      <c r="T14" s="88"/>
      <c r="U14" s="88"/>
      <c r="V14" s="88"/>
      <c r="W14" s="88"/>
      <c r="X14" s="88"/>
      <c r="Y14" s="88"/>
      <c r="Z14" s="88"/>
    </row>
    <row r="15" spans="1:26" s="93" customFormat="1" ht="21" customHeight="1" x14ac:dyDescent="0.35">
      <c r="A15" s="255" t="s">
        <v>360</v>
      </c>
      <c r="B15" s="211">
        <v>0</v>
      </c>
      <c r="C15" s="93">
        <v>0</v>
      </c>
      <c r="D15" s="93">
        <v>0</v>
      </c>
      <c r="E15" s="93">
        <v>0</v>
      </c>
      <c r="F15" s="93">
        <v>0</v>
      </c>
      <c r="G15" s="93">
        <v>0</v>
      </c>
      <c r="H15" s="93">
        <v>0</v>
      </c>
      <c r="I15" s="93">
        <v>0</v>
      </c>
      <c r="J15" s="93">
        <v>0</v>
      </c>
      <c r="K15" s="93">
        <v>0</v>
      </c>
      <c r="L15" s="93">
        <v>0</v>
      </c>
      <c r="M15" s="93">
        <v>0</v>
      </c>
      <c r="N15" s="93">
        <v>0</v>
      </c>
      <c r="O15" s="93">
        <v>0</v>
      </c>
      <c r="P15" s="93">
        <v>0</v>
      </c>
      <c r="Q15" s="93">
        <v>0</v>
      </c>
      <c r="R15" s="93">
        <v>0</v>
      </c>
      <c r="S15" s="93">
        <v>0</v>
      </c>
      <c r="T15" s="93">
        <v>0</v>
      </c>
      <c r="U15" s="93">
        <v>0</v>
      </c>
      <c r="V15" s="93">
        <v>0</v>
      </c>
      <c r="W15" s="93">
        <v>0</v>
      </c>
      <c r="X15" s="93">
        <v>0</v>
      </c>
      <c r="Y15" s="93">
        <v>0</v>
      </c>
      <c r="Z15" s="210">
        <v>0</v>
      </c>
    </row>
    <row r="16" spans="1:26" ht="24" customHeight="1" x14ac:dyDescent="0.35">
      <c r="A16" s="256"/>
      <c r="B16" s="212">
        <v>0</v>
      </c>
      <c r="C16" s="171">
        <v>0</v>
      </c>
      <c r="D16" s="171">
        <v>0</v>
      </c>
      <c r="E16" s="171">
        <v>0</v>
      </c>
      <c r="F16" s="171">
        <v>0</v>
      </c>
      <c r="G16" s="171">
        <v>0</v>
      </c>
      <c r="H16" s="171">
        <v>0</v>
      </c>
      <c r="I16" s="171">
        <v>0</v>
      </c>
      <c r="J16" s="171">
        <v>0</v>
      </c>
      <c r="K16" s="171">
        <v>0</v>
      </c>
      <c r="L16" s="171">
        <v>0</v>
      </c>
      <c r="M16" s="171">
        <v>0</v>
      </c>
      <c r="N16" s="171">
        <v>0</v>
      </c>
      <c r="O16" s="171">
        <v>0</v>
      </c>
      <c r="P16" s="171">
        <v>0</v>
      </c>
      <c r="Q16" s="171">
        <v>0</v>
      </c>
      <c r="R16" s="171">
        <v>0</v>
      </c>
      <c r="S16" s="171">
        <v>0</v>
      </c>
      <c r="T16" s="171">
        <v>0</v>
      </c>
      <c r="U16" s="171">
        <v>0</v>
      </c>
      <c r="V16" s="171">
        <v>0</v>
      </c>
      <c r="W16" s="171">
        <v>0</v>
      </c>
      <c r="X16" s="171">
        <v>0</v>
      </c>
      <c r="Y16" s="171">
        <v>0</v>
      </c>
      <c r="Z16" s="207">
        <v>0</v>
      </c>
    </row>
    <row r="17" spans="1:26" s="93" customFormat="1" ht="21" customHeight="1" x14ac:dyDescent="0.35">
      <c r="A17" s="255" t="s">
        <v>361</v>
      </c>
      <c r="B17" s="211">
        <v>0</v>
      </c>
      <c r="C17" s="93">
        <v>0</v>
      </c>
      <c r="D17" s="93">
        <v>0</v>
      </c>
      <c r="E17" s="93">
        <v>0</v>
      </c>
      <c r="F17" s="93">
        <v>0</v>
      </c>
      <c r="G17" s="93">
        <v>0</v>
      </c>
      <c r="H17" s="93">
        <v>0</v>
      </c>
      <c r="I17" s="93">
        <v>0</v>
      </c>
      <c r="J17" s="93">
        <v>0</v>
      </c>
      <c r="K17" s="93">
        <v>0</v>
      </c>
      <c r="L17" s="93">
        <v>0</v>
      </c>
      <c r="M17" s="93">
        <v>0</v>
      </c>
      <c r="N17" s="93">
        <v>0</v>
      </c>
      <c r="O17" s="93">
        <v>0</v>
      </c>
      <c r="P17" s="93">
        <v>0</v>
      </c>
      <c r="Q17" s="93">
        <v>0</v>
      </c>
      <c r="R17" s="93">
        <v>0</v>
      </c>
      <c r="S17" s="93">
        <v>0</v>
      </c>
      <c r="T17" s="93">
        <v>0</v>
      </c>
      <c r="U17" s="93">
        <v>0</v>
      </c>
      <c r="V17" s="93">
        <v>0</v>
      </c>
      <c r="W17" s="93">
        <v>0</v>
      </c>
      <c r="X17" s="93">
        <v>0</v>
      </c>
      <c r="Y17" s="93">
        <v>0</v>
      </c>
      <c r="Z17" s="210">
        <v>0</v>
      </c>
    </row>
    <row r="18" spans="1:26" ht="24" customHeight="1" x14ac:dyDescent="0.35">
      <c r="A18" s="256"/>
      <c r="B18" s="212">
        <v>0</v>
      </c>
      <c r="C18" s="171">
        <v>0</v>
      </c>
      <c r="D18" s="171">
        <v>0</v>
      </c>
      <c r="E18" s="171">
        <v>0</v>
      </c>
      <c r="F18" s="171">
        <v>0</v>
      </c>
      <c r="G18" s="171">
        <v>0</v>
      </c>
      <c r="H18" s="171">
        <v>0</v>
      </c>
      <c r="I18" s="171">
        <v>0</v>
      </c>
      <c r="J18" s="171">
        <v>0</v>
      </c>
      <c r="K18" s="171">
        <v>0</v>
      </c>
      <c r="L18" s="171">
        <v>0</v>
      </c>
      <c r="M18" s="171">
        <v>0</v>
      </c>
      <c r="N18" s="171">
        <v>0</v>
      </c>
      <c r="O18" s="171">
        <v>0</v>
      </c>
      <c r="P18" s="171">
        <v>0</v>
      </c>
      <c r="Q18" s="171">
        <v>0</v>
      </c>
      <c r="R18" s="171">
        <v>0</v>
      </c>
      <c r="S18" s="171">
        <v>0</v>
      </c>
      <c r="T18" s="171">
        <v>0</v>
      </c>
      <c r="U18" s="171">
        <v>0</v>
      </c>
      <c r="V18" s="171">
        <v>0</v>
      </c>
      <c r="W18" s="171">
        <v>0</v>
      </c>
      <c r="X18" s="171">
        <v>0</v>
      </c>
      <c r="Y18" s="171">
        <v>0</v>
      </c>
      <c r="Z18" s="207">
        <v>0</v>
      </c>
    </row>
    <row r="19" spans="1:26" s="93" customFormat="1" ht="21" customHeight="1" x14ac:dyDescent="0.35">
      <c r="A19" s="255" t="s">
        <v>362</v>
      </c>
      <c r="B19" s="211">
        <v>0</v>
      </c>
      <c r="C19" s="93">
        <v>0</v>
      </c>
      <c r="D19" s="93">
        <v>0</v>
      </c>
      <c r="E19" s="93">
        <v>0</v>
      </c>
      <c r="F19" s="93">
        <v>0</v>
      </c>
      <c r="G19" s="93">
        <v>0</v>
      </c>
      <c r="H19" s="93">
        <v>0</v>
      </c>
      <c r="I19" s="93">
        <v>0</v>
      </c>
      <c r="J19" s="93">
        <v>0</v>
      </c>
      <c r="K19" s="93">
        <v>0</v>
      </c>
      <c r="L19" s="93">
        <v>0</v>
      </c>
      <c r="M19" s="93">
        <v>0</v>
      </c>
      <c r="N19" s="93">
        <v>0</v>
      </c>
      <c r="O19" s="93">
        <v>0</v>
      </c>
      <c r="P19" s="93">
        <v>0</v>
      </c>
      <c r="Q19" s="93">
        <v>0</v>
      </c>
      <c r="R19" s="93">
        <v>0</v>
      </c>
      <c r="S19" s="93">
        <v>0</v>
      </c>
      <c r="T19" s="93">
        <v>0</v>
      </c>
      <c r="U19" s="93">
        <v>0</v>
      </c>
      <c r="V19" s="93">
        <v>0</v>
      </c>
      <c r="W19" s="93">
        <v>0</v>
      </c>
      <c r="X19" s="93">
        <v>0</v>
      </c>
      <c r="Y19" s="93">
        <v>0</v>
      </c>
      <c r="Z19" s="210">
        <v>0</v>
      </c>
    </row>
    <row r="20" spans="1:26" ht="24" customHeight="1" x14ac:dyDescent="0.35">
      <c r="A20" s="256"/>
      <c r="B20" s="212">
        <v>0</v>
      </c>
      <c r="C20" s="171">
        <v>0</v>
      </c>
      <c r="D20" s="171">
        <v>0</v>
      </c>
      <c r="E20" s="171">
        <v>0</v>
      </c>
      <c r="F20" s="171">
        <v>0</v>
      </c>
      <c r="G20" s="171">
        <v>0</v>
      </c>
      <c r="H20" s="171">
        <v>0</v>
      </c>
      <c r="I20" s="171">
        <v>0</v>
      </c>
      <c r="J20" s="171">
        <v>0</v>
      </c>
      <c r="K20" s="171">
        <v>0</v>
      </c>
      <c r="L20" s="171">
        <v>0</v>
      </c>
      <c r="M20" s="171">
        <v>0</v>
      </c>
      <c r="N20" s="171">
        <v>0</v>
      </c>
      <c r="O20" s="171">
        <v>0</v>
      </c>
      <c r="P20" s="171">
        <v>0</v>
      </c>
      <c r="Q20" s="171">
        <v>0</v>
      </c>
      <c r="R20" s="171">
        <v>0</v>
      </c>
      <c r="S20" s="171">
        <v>0</v>
      </c>
      <c r="T20" s="171">
        <v>0</v>
      </c>
      <c r="U20" s="171">
        <v>0</v>
      </c>
      <c r="V20" s="171">
        <v>0</v>
      </c>
      <c r="W20" s="171">
        <v>0</v>
      </c>
      <c r="X20" s="171">
        <v>0</v>
      </c>
      <c r="Y20" s="171">
        <v>0</v>
      </c>
      <c r="Z20" s="207">
        <v>0</v>
      </c>
    </row>
    <row r="21" spans="1:26" s="93" customFormat="1" ht="21" customHeight="1" x14ac:dyDescent="0.35">
      <c r="A21" s="255" t="s">
        <v>363</v>
      </c>
      <c r="B21" s="211">
        <v>0</v>
      </c>
      <c r="C21" s="93">
        <v>0</v>
      </c>
      <c r="D21" s="93">
        <v>0</v>
      </c>
      <c r="E21" s="93">
        <v>0</v>
      </c>
      <c r="F21" s="93">
        <v>0</v>
      </c>
      <c r="G21" s="93">
        <v>0</v>
      </c>
      <c r="H21" s="93">
        <v>0</v>
      </c>
      <c r="I21" s="93">
        <v>0</v>
      </c>
      <c r="J21" s="93">
        <v>0</v>
      </c>
      <c r="K21" s="93">
        <v>0</v>
      </c>
      <c r="L21" s="93">
        <v>0</v>
      </c>
      <c r="M21" s="93">
        <v>0</v>
      </c>
      <c r="N21" s="93">
        <v>0</v>
      </c>
      <c r="O21" s="93">
        <v>0</v>
      </c>
      <c r="P21" s="93">
        <v>0</v>
      </c>
      <c r="Q21" s="93">
        <v>0</v>
      </c>
      <c r="R21" s="93">
        <v>0</v>
      </c>
      <c r="S21" s="93">
        <v>0</v>
      </c>
      <c r="T21" s="93">
        <v>0</v>
      </c>
      <c r="U21" s="93">
        <v>0</v>
      </c>
      <c r="V21" s="93">
        <v>0</v>
      </c>
      <c r="W21" s="93">
        <v>0</v>
      </c>
      <c r="X21" s="93">
        <v>0</v>
      </c>
      <c r="Y21" s="93">
        <v>0</v>
      </c>
      <c r="Z21" s="210">
        <v>0</v>
      </c>
    </row>
    <row r="22" spans="1:26" ht="24" customHeight="1" x14ac:dyDescent="0.35">
      <c r="A22" s="256"/>
      <c r="B22" s="212">
        <v>0</v>
      </c>
      <c r="C22" s="171">
        <v>0</v>
      </c>
      <c r="D22" s="171">
        <v>0</v>
      </c>
      <c r="E22" s="171">
        <v>0</v>
      </c>
      <c r="F22" s="171">
        <v>0</v>
      </c>
      <c r="G22" s="171">
        <v>0</v>
      </c>
      <c r="H22" s="171">
        <v>0</v>
      </c>
      <c r="I22" s="171">
        <v>0</v>
      </c>
      <c r="J22" s="171">
        <v>0</v>
      </c>
      <c r="K22" s="171">
        <v>0</v>
      </c>
      <c r="L22" s="171">
        <v>0</v>
      </c>
      <c r="M22" s="171">
        <v>0</v>
      </c>
      <c r="N22" s="171">
        <v>0</v>
      </c>
      <c r="O22" s="171">
        <v>0</v>
      </c>
      <c r="P22" s="171">
        <v>0</v>
      </c>
      <c r="Q22" s="171">
        <v>0</v>
      </c>
      <c r="R22" s="171">
        <v>0</v>
      </c>
      <c r="S22" s="171">
        <v>0</v>
      </c>
      <c r="T22" s="171">
        <v>0</v>
      </c>
      <c r="U22" s="171">
        <v>0</v>
      </c>
      <c r="V22" s="171">
        <v>0</v>
      </c>
      <c r="W22" s="171">
        <v>0</v>
      </c>
      <c r="X22" s="171">
        <v>0</v>
      </c>
      <c r="Y22" s="171">
        <v>0</v>
      </c>
      <c r="Z22" s="207">
        <v>0</v>
      </c>
    </row>
    <row r="23" spans="1:26" s="93" customFormat="1" ht="21" customHeight="1" x14ac:dyDescent="0.35">
      <c r="A23" s="255" t="s">
        <v>364</v>
      </c>
      <c r="B23" s="211">
        <v>0</v>
      </c>
      <c r="C23" s="93">
        <v>0</v>
      </c>
      <c r="D23" s="93">
        <v>0</v>
      </c>
      <c r="E23" s="93">
        <v>0</v>
      </c>
      <c r="F23" s="93">
        <v>0</v>
      </c>
      <c r="G23" s="93">
        <v>0</v>
      </c>
      <c r="H23" s="93">
        <v>0</v>
      </c>
      <c r="I23" s="93">
        <v>0</v>
      </c>
      <c r="J23" s="93">
        <v>0</v>
      </c>
      <c r="K23" s="93">
        <v>0</v>
      </c>
      <c r="L23" s="93">
        <v>0</v>
      </c>
      <c r="M23" s="93">
        <v>0</v>
      </c>
      <c r="N23" s="93">
        <v>0</v>
      </c>
      <c r="O23" s="93">
        <v>0</v>
      </c>
      <c r="P23" s="93">
        <v>0</v>
      </c>
      <c r="Q23" s="93">
        <v>0</v>
      </c>
      <c r="R23" s="93">
        <v>0</v>
      </c>
      <c r="S23" s="93">
        <v>0</v>
      </c>
      <c r="T23" s="93">
        <v>0</v>
      </c>
      <c r="U23" s="93">
        <v>0</v>
      </c>
      <c r="V23" s="93">
        <v>0</v>
      </c>
      <c r="W23" s="93">
        <v>0</v>
      </c>
      <c r="X23" s="93">
        <v>0</v>
      </c>
      <c r="Y23" s="93">
        <v>0</v>
      </c>
      <c r="Z23" s="210">
        <v>0</v>
      </c>
    </row>
    <row r="24" spans="1:26" ht="24" customHeight="1" x14ac:dyDescent="0.35">
      <c r="A24" s="256"/>
      <c r="B24" s="212">
        <v>0</v>
      </c>
      <c r="C24" s="171">
        <v>0</v>
      </c>
      <c r="D24" s="171">
        <v>0</v>
      </c>
      <c r="E24" s="171">
        <v>0</v>
      </c>
      <c r="F24" s="171">
        <v>0</v>
      </c>
      <c r="G24" s="171">
        <v>0</v>
      </c>
      <c r="H24" s="171">
        <v>0</v>
      </c>
      <c r="I24" s="171">
        <v>0</v>
      </c>
      <c r="J24" s="171">
        <v>0</v>
      </c>
      <c r="K24" s="171">
        <v>0</v>
      </c>
      <c r="L24" s="171">
        <v>0</v>
      </c>
      <c r="M24" s="171">
        <v>0</v>
      </c>
      <c r="N24" s="171">
        <v>0</v>
      </c>
      <c r="O24" s="171">
        <v>0</v>
      </c>
      <c r="P24" s="171">
        <v>0</v>
      </c>
      <c r="Q24" s="171">
        <v>0</v>
      </c>
      <c r="R24" s="171">
        <v>0</v>
      </c>
      <c r="S24" s="171">
        <v>0</v>
      </c>
      <c r="T24" s="171">
        <v>0</v>
      </c>
      <c r="U24" s="171">
        <v>0</v>
      </c>
      <c r="V24" s="171">
        <v>0</v>
      </c>
      <c r="W24" s="171">
        <v>0</v>
      </c>
      <c r="X24" s="171">
        <v>0</v>
      </c>
      <c r="Y24" s="171">
        <v>0</v>
      </c>
      <c r="Z24" s="207">
        <v>0</v>
      </c>
    </row>
    <row r="25" spans="1:26" s="93" customFormat="1" ht="21" customHeight="1" x14ac:dyDescent="0.35">
      <c r="A25" s="255" t="s">
        <v>365</v>
      </c>
      <c r="B25" s="211">
        <v>0</v>
      </c>
      <c r="C25" s="93">
        <v>0</v>
      </c>
      <c r="D25" s="93">
        <v>0</v>
      </c>
      <c r="E25" s="93">
        <v>0</v>
      </c>
      <c r="F25" s="93">
        <v>0</v>
      </c>
      <c r="G25" s="93">
        <v>0</v>
      </c>
      <c r="H25" s="93">
        <v>0</v>
      </c>
      <c r="I25" s="93">
        <v>0</v>
      </c>
      <c r="J25" s="93">
        <v>0</v>
      </c>
      <c r="K25" s="93">
        <v>0</v>
      </c>
      <c r="L25" s="93">
        <v>0</v>
      </c>
      <c r="M25" s="93">
        <v>0</v>
      </c>
      <c r="N25" s="93">
        <v>0</v>
      </c>
      <c r="O25" s="93">
        <v>0</v>
      </c>
      <c r="P25" s="93">
        <v>0</v>
      </c>
      <c r="Q25" s="93">
        <v>0</v>
      </c>
      <c r="R25" s="93">
        <v>0</v>
      </c>
      <c r="S25" s="93">
        <v>0</v>
      </c>
      <c r="T25" s="93">
        <v>0</v>
      </c>
      <c r="U25" s="93">
        <v>0</v>
      </c>
      <c r="V25" s="93">
        <v>0</v>
      </c>
      <c r="W25" s="93">
        <v>0</v>
      </c>
      <c r="X25" s="93">
        <v>0</v>
      </c>
      <c r="Y25" s="93">
        <v>0</v>
      </c>
      <c r="Z25" s="210">
        <v>0</v>
      </c>
    </row>
    <row r="26" spans="1:26" ht="24" customHeight="1" x14ac:dyDescent="0.35">
      <c r="A26" s="256"/>
      <c r="B26" s="212">
        <v>0</v>
      </c>
      <c r="C26" s="171">
        <v>0</v>
      </c>
      <c r="D26" s="171">
        <v>0</v>
      </c>
      <c r="E26" s="171">
        <v>0</v>
      </c>
      <c r="F26" s="171">
        <v>0</v>
      </c>
      <c r="G26" s="171">
        <v>0</v>
      </c>
      <c r="H26" s="171">
        <v>0</v>
      </c>
      <c r="I26" s="171">
        <v>0</v>
      </c>
      <c r="J26" s="171">
        <v>0</v>
      </c>
      <c r="K26" s="171">
        <v>0</v>
      </c>
      <c r="L26" s="171">
        <v>0</v>
      </c>
      <c r="M26" s="171">
        <v>0</v>
      </c>
      <c r="N26" s="171">
        <v>0</v>
      </c>
      <c r="O26" s="171">
        <v>0</v>
      </c>
      <c r="P26" s="171">
        <v>0</v>
      </c>
      <c r="Q26" s="171">
        <v>0</v>
      </c>
      <c r="R26" s="171">
        <v>0</v>
      </c>
      <c r="S26" s="171">
        <v>0</v>
      </c>
      <c r="T26" s="171">
        <v>0</v>
      </c>
      <c r="U26" s="171">
        <v>0</v>
      </c>
      <c r="V26" s="171">
        <v>0</v>
      </c>
      <c r="W26" s="171">
        <v>0</v>
      </c>
      <c r="X26" s="171">
        <v>0</v>
      </c>
      <c r="Y26" s="171">
        <v>0</v>
      </c>
      <c r="Z26" s="207">
        <v>0</v>
      </c>
    </row>
  </sheetData>
  <mergeCells count="15">
    <mergeCell ref="A17:A18"/>
    <mergeCell ref="A19:A20"/>
    <mergeCell ref="A21:A22"/>
    <mergeCell ref="A23:A24"/>
    <mergeCell ref="A25:A26"/>
    <mergeCell ref="T10:U10"/>
    <mergeCell ref="V10:Z10"/>
    <mergeCell ref="A10:A11"/>
    <mergeCell ref="A13:A14"/>
    <mergeCell ref="A15:A16"/>
    <mergeCell ref="C10:E10"/>
    <mergeCell ref="F10:I10"/>
    <mergeCell ref="J10:M10"/>
    <mergeCell ref="N10:Q10"/>
    <mergeCell ref="R10:S10"/>
  </mergeCells>
  <pageMargins left="0.7" right="0.7" top="0.75" bottom="0.75" header="0.511811023622047" footer="0.511811023622047"/>
  <pageSetup paperSize="9" orientation="portrait" useFirstPageNumber="1"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Feuil20"/>
  <dimension ref="A1:Z26"/>
  <sheetViews>
    <sheetView showGridLines="0" zoomScale="60" zoomScaleNormal="60" workbookViewId="0">
      <selection activeCell="A6" sqref="A6:XFD6"/>
    </sheetView>
  </sheetViews>
  <sheetFormatPr defaultColWidth="20.6328125" defaultRowHeight="19" customHeight="1" x14ac:dyDescent="0.35"/>
  <cols>
    <col min="1" max="1" width="100.6328125" style="104" customWidth="1"/>
    <col min="2" max="2" width="20.6328125" style="88" customWidth="1"/>
    <col min="3" max="16384" width="20.6328125" style="87"/>
  </cols>
  <sheetData>
    <row r="1" spans="1:26" x14ac:dyDescent="0.35">
      <c r="A1" s="183" t="s">
        <v>89</v>
      </c>
    </row>
    <row r="2" spans="1:26" x14ac:dyDescent="0.35">
      <c r="A2" s="104" t="s">
        <v>356</v>
      </c>
    </row>
    <row r="3" spans="1:26" s="88" customFormat="1" x14ac:dyDescent="0.35">
      <c r="A3" s="105" t="s">
        <v>357</v>
      </c>
    </row>
    <row r="4" spans="1:26" x14ac:dyDescent="0.35">
      <c r="A4" s="105" t="s">
        <v>317</v>
      </c>
    </row>
    <row r="6" spans="1:26" s="88" customFormat="1" ht="19" customHeight="1" x14ac:dyDescent="0.35">
      <c r="A6" s="122"/>
    </row>
    <row r="7" spans="1:26" x14ac:dyDescent="0.35">
      <c r="A7" s="184" t="s">
        <v>366</v>
      </c>
      <c r="B7" s="87"/>
    </row>
    <row r="8" spans="1:26" x14ac:dyDescent="0.35">
      <c r="A8" s="184" t="s">
        <v>7</v>
      </c>
    </row>
    <row r="9" spans="1:26" ht="19" customHeight="1" thickBot="1" x14ac:dyDescent="0.4">
      <c r="C9" s="107"/>
    </row>
    <row r="10" spans="1:26" s="89" customFormat="1" ht="57" customHeight="1" thickBot="1" x14ac:dyDescent="0.4">
      <c r="A10" s="251"/>
      <c r="B10" s="205" t="s">
        <v>319</v>
      </c>
      <c r="C10" s="257" t="s">
        <v>320</v>
      </c>
      <c r="D10" s="239"/>
      <c r="E10" s="239"/>
      <c r="F10" s="239" t="s">
        <v>321</v>
      </c>
      <c r="G10" s="239"/>
      <c r="H10" s="239"/>
      <c r="I10" s="239"/>
      <c r="J10" s="239" t="s">
        <v>322</v>
      </c>
      <c r="K10" s="239"/>
      <c r="L10" s="239"/>
      <c r="M10" s="239"/>
      <c r="N10" s="239" t="s">
        <v>323</v>
      </c>
      <c r="O10" s="239"/>
      <c r="P10" s="239"/>
      <c r="Q10" s="239"/>
      <c r="R10" s="239" t="s">
        <v>324</v>
      </c>
      <c r="S10" s="239"/>
      <c r="T10" s="239" t="s">
        <v>325</v>
      </c>
      <c r="U10" s="250"/>
      <c r="V10" s="239" t="s">
        <v>326</v>
      </c>
      <c r="W10" s="237"/>
      <c r="X10" s="237"/>
      <c r="Y10" s="237"/>
      <c r="Z10" s="240"/>
    </row>
    <row r="11" spans="1:26" s="129" customFormat="1" ht="18.75" customHeight="1" thickBot="1" x14ac:dyDescent="0.4">
      <c r="A11" s="252"/>
      <c r="B11" s="206" t="e">
        <f>#VALUE!</f>
        <v>#VALUE!</v>
      </c>
      <c r="C11" s="129" t="s">
        <v>327</v>
      </c>
      <c r="D11" s="132" t="s">
        <v>328</v>
      </c>
      <c r="E11" s="131" t="s">
        <v>329</v>
      </c>
      <c r="F11" s="132" t="s">
        <v>330</v>
      </c>
      <c r="G11" s="132" t="s">
        <v>331</v>
      </c>
      <c r="H11" s="132" t="s">
        <v>332</v>
      </c>
      <c r="I11" s="131" t="s">
        <v>333</v>
      </c>
      <c r="J11" s="132" t="s">
        <v>334</v>
      </c>
      <c r="K11" s="132" t="s">
        <v>335</v>
      </c>
      <c r="L11" s="132" t="s">
        <v>336</v>
      </c>
      <c r="M11" s="131" t="s">
        <v>337</v>
      </c>
      <c r="N11" s="132" t="s">
        <v>338</v>
      </c>
      <c r="O11" s="132" t="s">
        <v>339</v>
      </c>
      <c r="P11" s="132" t="s">
        <v>340</v>
      </c>
      <c r="Q11" s="131" t="s">
        <v>341</v>
      </c>
      <c r="R11" s="132" t="s">
        <v>125</v>
      </c>
      <c r="S11" s="131" t="s">
        <v>126</v>
      </c>
      <c r="T11" s="209" t="s">
        <v>125</v>
      </c>
      <c r="U11" s="131" t="s">
        <v>126</v>
      </c>
      <c r="V11" s="132" t="s">
        <v>342</v>
      </c>
      <c r="W11" s="132" t="s">
        <v>343</v>
      </c>
      <c r="X11" s="132" t="s">
        <v>344</v>
      </c>
      <c r="Y11" s="132" t="s">
        <v>345</v>
      </c>
      <c r="Z11" s="133" t="s">
        <v>346</v>
      </c>
    </row>
    <row r="12" spans="1:26" s="94" customFormat="1" ht="18.75" customHeight="1" x14ac:dyDescent="0.35">
      <c r="B12" s="115"/>
      <c r="C12" s="208"/>
    </row>
    <row r="13" spans="1:26" s="93" customFormat="1" ht="21" customHeight="1" x14ac:dyDescent="0.35">
      <c r="A13" s="253" t="s">
        <v>359</v>
      </c>
      <c r="B13" s="211">
        <v>0</v>
      </c>
      <c r="C13" s="135">
        <v>0</v>
      </c>
      <c r="D13" s="135">
        <v>0</v>
      </c>
      <c r="E13" s="135">
        <v>0</v>
      </c>
      <c r="F13" s="135">
        <v>0</v>
      </c>
      <c r="G13" s="135">
        <v>0</v>
      </c>
      <c r="H13" s="135">
        <v>0</v>
      </c>
      <c r="I13" s="135">
        <v>0</v>
      </c>
      <c r="J13" s="135">
        <v>0</v>
      </c>
      <c r="K13" s="135">
        <v>0</v>
      </c>
      <c r="L13" s="135">
        <v>0</v>
      </c>
      <c r="M13" s="135">
        <v>0</v>
      </c>
      <c r="N13" s="135">
        <v>0</v>
      </c>
      <c r="O13" s="135">
        <v>0</v>
      </c>
      <c r="P13" s="135">
        <v>0</v>
      </c>
      <c r="Q13" s="135">
        <v>0</v>
      </c>
      <c r="R13" s="135">
        <v>0</v>
      </c>
      <c r="S13" s="135">
        <v>0</v>
      </c>
      <c r="T13" s="135">
        <v>0</v>
      </c>
      <c r="U13" s="135">
        <v>0</v>
      </c>
      <c r="V13" s="135">
        <v>0</v>
      </c>
      <c r="W13" s="135">
        <v>0</v>
      </c>
      <c r="X13" s="135">
        <v>0</v>
      </c>
      <c r="Y13" s="135">
        <v>0</v>
      </c>
      <c r="Z13" s="137">
        <v>0</v>
      </c>
    </row>
    <row r="14" spans="1:26" ht="24" customHeight="1" x14ac:dyDescent="0.35">
      <c r="A14" s="254"/>
      <c r="B14" s="4"/>
      <c r="C14" s="114"/>
      <c r="D14" s="88"/>
      <c r="E14" s="88"/>
      <c r="F14" s="88"/>
      <c r="G14" s="88"/>
      <c r="H14" s="88"/>
      <c r="I14" s="88"/>
      <c r="J14" s="88"/>
      <c r="K14" s="88"/>
      <c r="L14" s="88"/>
      <c r="M14" s="88"/>
      <c r="N14" s="88"/>
      <c r="O14" s="88"/>
      <c r="P14" s="88"/>
      <c r="Q14" s="88"/>
      <c r="R14" s="88"/>
      <c r="S14" s="88"/>
      <c r="T14" s="88"/>
      <c r="U14" s="88"/>
      <c r="V14" s="88"/>
      <c r="W14" s="88"/>
      <c r="X14" s="88"/>
      <c r="Y14" s="88"/>
      <c r="Z14" s="88"/>
    </row>
    <row r="15" spans="1:26" s="93" customFormat="1" ht="21" customHeight="1" x14ac:dyDescent="0.35">
      <c r="A15" s="255" t="s">
        <v>367</v>
      </c>
      <c r="B15" s="211">
        <v>0</v>
      </c>
      <c r="C15" s="93">
        <v>0</v>
      </c>
      <c r="D15" s="93">
        <v>0</v>
      </c>
      <c r="E15" s="93">
        <v>0</v>
      </c>
      <c r="F15" s="93">
        <v>0</v>
      </c>
      <c r="G15" s="93">
        <v>0</v>
      </c>
      <c r="H15" s="93">
        <v>0</v>
      </c>
      <c r="I15" s="93">
        <v>0</v>
      </c>
      <c r="J15" s="93">
        <v>0</v>
      </c>
      <c r="K15" s="93">
        <v>0</v>
      </c>
      <c r="L15" s="93">
        <v>0</v>
      </c>
      <c r="M15" s="93">
        <v>0</v>
      </c>
      <c r="N15" s="93">
        <v>0</v>
      </c>
      <c r="O15" s="93">
        <v>0</v>
      </c>
      <c r="P15" s="93">
        <v>0</v>
      </c>
      <c r="Q15" s="93">
        <v>0</v>
      </c>
      <c r="R15" s="93">
        <v>0</v>
      </c>
      <c r="S15" s="93">
        <v>0</v>
      </c>
      <c r="T15" s="93">
        <v>0</v>
      </c>
      <c r="U15" s="93">
        <v>0</v>
      </c>
      <c r="V15" s="93">
        <v>0</v>
      </c>
      <c r="W15" s="93">
        <v>0</v>
      </c>
      <c r="X15" s="93">
        <v>0</v>
      </c>
      <c r="Y15" s="93">
        <v>0</v>
      </c>
      <c r="Z15" s="210">
        <v>0</v>
      </c>
    </row>
    <row r="16" spans="1:26" ht="24" customHeight="1" x14ac:dyDescent="0.35">
      <c r="A16" s="256"/>
      <c r="B16" s="212">
        <v>0</v>
      </c>
      <c r="C16" s="171">
        <v>0</v>
      </c>
      <c r="D16" s="171">
        <v>0</v>
      </c>
      <c r="E16" s="171">
        <v>0</v>
      </c>
      <c r="F16" s="171">
        <v>0</v>
      </c>
      <c r="G16" s="171">
        <v>0</v>
      </c>
      <c r="H16" s="171">
        <v>0</v>
      </c>
      <c r="I16" s="171">
        <v>0</v>
      </c>
      <c r="J16" s="171">
        <v>0</v>
      </c>
      <c r="K16" s="171">
        <v>0</v>
      </c>
      <c r="L16" s="171">
        <v>0</v>
      </c>
      <c r="M16" s="171">
        <v>0</v>
      </c>
      <c r="N16" s="171">
        <v>0</v>
      </c>
      <c r="O16" s="171">
        <v>0</v>
      </c>
      <c r="P16" s="171">
        <v>0</v>
      </c>
      <c r="Q16" s="171">
        <v>0</v>
      </c>
      <c r="R16" s="171">
        <v>0</v>
      </c>
      <c r="S16" s="171">
        <v>0</v>
      </c>
      <c r="T16" s="171">
        <v>0</v>
      </c>
      <c r="U16" s="171">
        <v>0</v>
      </c>
      <c r="V16" s="171">
        <v>0</v>
      </c>
      <c r="W16" s="171">
        <v>0</v>
      </c>
      <c r="X16" s="171">
        <v>0</v>
      </c>
      <c r="Y16" s="171">
        <v>0</v>
      </c>
      <c r="Z16" s="207">
        <v>0</v>
      </c>
    </row>
    <row r="17" spans="1:26" s="93" customFormat="1" ht="21" customHeight="1" x14ac:dyDescent="0.35">
      <c r="A17" s="255" t="s">
        <v>368</v>
      </c>
      <c r="B17" s="211">
        <v>0</v>
      </c>
      <c r="C17" s="93">
        <v>0</v>
      </c>
      <c r="D17" s="93">
        <v>0</v>
      </c>
      <c r="E17" s="93">
        <v>0</v>
      </c>
      <c r="F17" s="93">
        <v>0</v>
      </c>
      <c r="G17" s="93">
        <v>0</v>
      </c>
      <c r="H17" s="93">
        <v>0</v>
      </c>
      <c r="I17" s="93">
        <v>0</v>
      </c>
      <c r="J17" s="93">
        <v>0</v>
      </c>
      <c r="K17" s="93">
        <v>0</v>
      </c>
      <c r="L17" s="93">
        <v>0</v>
      </c>
      <c r="M17" s="93">
        <v>0</v>
      </c>
      <c r="N17" s="93">
        <v>0</v>
      </c>
      <c r="O17" s="93">
        <v>0</v>
      </c>
      <c r="P17" s="93">
        <v>0</v>
      </c>
      <c r="Q17" s="93">
        <v>0</v>
      </c>
      <c r="R17" s="93">
        <v>0</v>
      </c>
      <c r="S17" s="93">
        <v>0</v>
      </c>
      <c r="T17" s="93">
        <v>0</v>
      </c>
      <c r="U17" s="93">
        <v>0</v>
      </c>
      <c r="V17" s="93">
        <v>0</v>
      </c>
      <c r="W17" s="93">
        <v>0</v>
      </c>
      <c r="X17" s="93">
        <v>0</v>
      </c>
      <c r="Y17" s="93">
        <v>0</v>
      </c>
      <c r="Z17" s="210">
        <v>0</v>
      </c>
    </row>
    <row r="18" spans="1:26" ht="24" customHeight="1" x14ac:dyDescent="0.35">
      <c r="A18" s="256"/>
      <c r="B18" s="212">
        <v>0</v>
      </c>
      <c r="C18" s="171">
        <v>0</v>
      </c>
      <c r="D18" s="171">
        <v>0</v>
      </c>
      <c r="E18" s="171">
        <v>0</v>
      </c>
      <c r="F18" s="171">
        <v>0</v>
      </c>
      <c r="G18" s="171">
        <v>0</v>
      </c>
      <c r="H18" s="171">
        <v>0</v>
      </c>
      <c r="I18" s="171">
        <v>0</v>
      </c>
      <c r="J18" s="171">
        <v>0</v>
      </c>
      <c r="K18" s="171">
        <v>0</v>
      </c>
      <c r="L18" s="171">
        <v>0</v>
      </c>
      <c r="M18" s="171">
        <v>0</v>
      </c>
      <c r="N18" s="171">
        <v>0</v>
      </c>
      <c r="O18" s="171">
        <v>0</v>
      </c>
      <c r="P18" s="171">
        <v>0</v>
      </c>
      <c r="Q18" s="171">
        <v>0</v>
      </c>
      <c r="R18" s="171">
        <v>0</v>
      </c>
      <c r="S18" s="171">
        <v>0</v>
      </c>
      <c r="T18" s="171">
        <v>0</v>
      </c>
      <c r="U18" s="171">
        <v>0</v>
      </c>
      <c r="V18" s="171">
        <v>0</v>
      </c>
      <c r="W18" s="171">
        <v>0</v>
      </c>
      <c r="X18" s="171">
        <v>0</v>
      </c>
      <c r="Y18" s="171">
        <v>0</v>
      </c>
      <c r="Z18" s="207">
        <v>0</v>
      </c>
    </row>
    <row r="19" spans="1:26" s="93" customFormat="1" ht="21" customHeight="1" x14ac:dyDescent="0.35">
      <c r="A19" s="255" t="s">
        <v>369</v>
      </c>
      <c r="B19" s="211">
        <v>0</v>
      </c>
      <c r="C19" s="93">
        <v>0</v>
      </c>
      <c r="D19" s="93">
        <v>0</v>
      </c>
      <c r="E19" s="93">
        <v>0</v>
      </c>
      <c r="F19" s="93">
        <v>0</v>
      </c>
      <c r="G19" s="93">
        <v>0</v>
      </c>
      <c r="H19" s="93">
        <v>0</v>
      </c>
      <c r="I19" s="93">
        <v>0</v>
      </c>
      <c r="J19" s="93">
        <v>0</v>
      </c>
      <c r="K19" s="93">
        <v>0</v>
      </c>
      <c r="L19" s="93">
        <v>0</v>
      </c>
      <c r="M19" s="93">
        <v>0</v>
      </c>
      <c r="N19" s="93">
        <v>0</v>
      </c>
      <c r="O19" s="93">
        <v>0</v>
      </c>
      <c r="P19" s="93">
        <v>0</v>
      </c>
      <c r="Q19" s="93">
        <v>0</v>
      </c>
      <c r="R19" s="93">
        <v>0</v>
      </c>
      <c r="S19" s="93">
        <v>0</v>
      </c>
      <c r="T19" s="93">
        <v>0</v>
      </c>
      <c r="U19" s="93">
        <v>0</v>
      </c>
      <c r="V19" s="93">
        <v>0</v>
      </c>
      <c r="W19" s="93">
        <v>0</v>
      </c>
      <c r="X19" s="93">
        <v>0</v>
      </c>
      <c r="Y19" s="93">
        <v>0</v>
      </c>
      <c r="Z19" s="210">
        <v>0</v>
      </c>
    </row>
    <row r="20" spans="1:26" ht="24" customHeight="1" x14ac:dyDescent="0.35">
      <c r="A20" s="256"/>
      <c r="B20" s="212">
        <v>0</v>
      </c>
      <c r="C20" s="171">
        <v>0</v>
      </c>
      <c r="D20" s="171">
        <v>0</v>
      </c>
      <c r="E20" s="171">
        <v>0</v>
      </c>
      <c r="F20" s="171">
        <v>0</v>
      </c>
      <c r="G20" s="171">
        <v>0</v>
      </c>
      <c r="H20" s="171">
        <v>0</v>
      </c>
      <c r="I20" s="171">
        <v>0</v>
      </c>
      <c r="J20" s="171">
        <v>0</v>
      </c>
      <c r="K20" s="171">
        <v>0</v>
      </c>
      <c r="L20" s="171">
        <v>0</v>
      </c>
      <c r="M20" s="171">
        <v>0</v>
      </c>
      <c r="N20" s="171">
        <v>0</v>
      </c>
      <c r="O20" s="171">
        <v>0</v>
      </c>
      <c r="P20" s="171">
        <v>0</v>
      </c>
      <c r="Q20" s="171">
        <v>0</v>
      </c>
      <c r="R20" s="171">
        <v>0</v>
      </c>
      <c r="S20" s="171">
        <v>0</v>
      </c>
      <c r="T20" s="171">
        <v>0</v>
      </c>
      <c r="U20" s="171">
        <v>0</v>
      </c>
      <c r="V20" s="171">
        <v>0</v>
      </c>
      <c r="W20" s="171">
        <v>0</v>
      </c>
      <c r="X20" s="171">
        <v>0</v>
      </c>
      <c r="Y20" s="171">
        <v>0</v>
      </c>
      <c r="Z20" s="207">
        <v>0</v>
      </c>
    </row>
    <row r="21" spans="1:26" s="93" customFormat="1" ht="21" customHeight="1" x14ac:dyDescent="0.35">
      <c r="A21" s="255" t="s">
        <v>370</v>
      </c>
      <c r="B21" s="211">
        <v>0</v>
      </c>
      <c r="C21" s="93">
        <v>0</v>
      </c>
      <c r="D21" s="93">
        <v>0</v>
      </c>
      <c r="E21" s="93">
        <v>0</v>
      </c>
      <c r="F21" s="93">
        <v>0</v>
      </c>
      <c r="G21" s="93">
        <v>0</v>
      </c>
      <c r="H21" s="93">
        <v>0</v>
      </c>
      <c r="I21" s="93">
        <v>0</v>
      </c>
      <c r="J21" s="93">
        <v>0</v>
      </c>
      <c r="K21" s="93">
        <v>0</v>
      </c>
      <c r="L21" s="93">
        <v>0</v>
      </c>
      <c r="M21" s="93">
        <v>0</v>
      </c>
      <c r="N21" s="93">
        <v>0</v>
      </c>
      <c r="O21" s="93">
        <v>0</v>
      </c>
      <c r="P21" s="93">
        <v>0</v>
      </c>
      <c r="Q21" s="93">
        <v>0</v>
      </c>
      <c r="R21" s="93">
        <v>0</v>
      </c>
      <c r="S21" s="93">
        <v>0</v>
      </c>
      <c r="T21" s="93">
        <v>0</v>
      </c>
      <c r="U21" s="93">
        <v>0</v>
      </c>
      <c r="V21" s="93">
        <v>0</v>
      </c>
      <c r="W21" s="93">
        <v>0</v>
      </c>
      <c r="X21" s="93">
        <v>0</v>
      </c>
      <c r="Y21" s="93">
        <v>0</v>
      </c>
      <c r="Z21" s="210">
        <v>0</v>
      </c>
    </row>
    <row r="22" spans="1:26" ht="24" customHeight="1" x14ac:dyDescent="0.35">
      <c r="A22" s="256"/>
      <c r="B22" s="212">
        <v>0</v>
      </c>
      <c r="C22" s="171">
        <v>0</v>
      </c>
      <c r="D22" s="171">
        <v>0</v>
      </c>
      <c r="E22" s="171">
        <v>0</v>
      </c>
      <c r="F22" s="171">
        <v>0</v>
      </c>
      <c r="G22" s="171">
        <v>0</v>
      </c>
      <c r="H22" s="171">
        <v>0</v>
      </c>
      <c r="I22" s="171">
        <v>0</v>
      </c>
      <c r="J22" s="171">
        <v>0</v>
      </c>
      <c r="K22" s="171">
        <v>0</v>
      </c>
      <c r="L22" s="171">
        <v>0</v>
      </c>
      <c r="M22" s="171">
        <v>0</v>
      </c>
      <c r="N22" s="171">
        <v>0</v>
      </c>
      <c r="O22" s="171">
        <v>0</v>
      </c>
      <c r="P22" s="171">
        <v>0</v>
      </c>
      <c r="Q22" s="171">
        <v>0</v>
      </c>
      <c r="R22" s="171">
        <v>0</v>
      </c>
      <c r="S22" s="171">
        <v>0</v>
      </c>
      <c r="T22" s="171">
        <v>0</v>
      </c>
      <c r="U22" s="171">
        <v>0</v>
      </c>
      <c r="V22" s="171">
        <v>0</v>
      </c>
      <c r="W22" s="171">
        <v>0</v>
      </c>
      <c r="X22" s="171">
        <v>0</v>
      </c>
      <c r="Y22" s="171">
        <v>0</v>
      </c>
      <c r="Z22" s="207">
        <v>0</v>
      </c>
    </row>
    <row r="23" spans="1:26" s="93" customFormat="1" ht="21" customHeight="1" x14ac:dyDescent="0.35">
      <c r="A23" s="255" t="s">
        <v>355</v>
      </c>
      <c r="B23" s="211">
        <v>0</v>
      </c>
      <c r="C23" s="93">
        <v>0</v>
      </c>
      <c r="D23" s="93">
        <v>0</v>
      </c>
      <c r="E23" s="93">
        <v>0</v>
      </c>
      <c r="F23" s="93">
        <v>0</v>
      </c>
      <c r="G23" s="93">
        <v>0</v>
      </c>
      <c r="H23" s="93">
        <v>0</v>
      </c>
      <c r="I23" s="93">
        <v>0</v>
      </c>
      <c r="J23" s="93">
        <v>0</v>
      </c>
      <c r="K23" s="93">
        <v>0</v>
      </c>
      <c r="L23" s="93">
        <v>0</v>
      </c>
      <c r="M23" s="93">
        <v>0</v>
      </c>
      <c r="N23" s="93">
        <v>0</v>
      </c>
      <c r="O23" s="93">
        <v>0</v>
      </c>
      <c r="P23" s="93">
        <v>0</v>
      </c>
      <c r="Q23" s="93">
        <v>0</v>
      </c>
      <c r="R23" s="93">
        <v>0</v>
      </c>
      <c r="S23" s="93">
        <v>0</v>
      </c>
      <c r="T23" s="93">
        <v>0</v>
      </c>
      <c r="U23" s="93">
        <v>0</v>
      </c>
      <c r="V23" s="93">
        <v>0</v>
      </c>
      <c r="W23" s="93">
        <v>0</v>
      </c>
      <c r="X23" s="93">
        <v>0</v>
      </c>
      <c r="Y23" s="93">
        <v>0</v>
      </c>
      <c r="Z23" s="210">
        <v>0</v>
      </c>
    </row>
    <row r="24" spans="1:26" ht="24" customHeight="1" x14ac:dyDescent="0.35">
      <c r="A24" s="256"/>
      <c r="B24" s="212">
        <v>0</v>
      </c>
      <c r="C24" s="171">
        <v>0</v>
      </c>
      <c r="D24" s="171">
        <v>0</v>
      </c>
      <c r="E24" s="171">
        <v>0</v>
      </c>
      <c r="F24" s="171">
        <v>0</v>
      </c>
      <c r="G24" s="171">
        <v>0</v>
      </c>
      <c r="H24" s="171">
        <v>0</v>
      </c>
      <c r="I24" s="171">
        <v>0</v>
      </c>
      <c r="J24" s="171">
        <v>0</v>
      </c>
      <c r="K24" s="171">
        <v>0</v>
      </c>
      <c r="L24" s="171">
        <v>0</v>
      </c>
      <c r="M24" s="171">
        <v>0</v>
      </c>
      <c r="N24" s="171">
        <v>0</v>
      </c>
      <c r="O24" s="171">
        <v>0</v>
      </c>
      <c r="P24" s="171">
        <v>0</v>
      </c>
      <c r="Q24" s="171">
        <v>0</v>
      </c>
      <c r="R24" s="171">
        <v>0</v>
      </c>
      <c r="S24" s="171">
        <v>0</v>
      </c>
      <c r="T24" s="171">
        <v>0</v>
      </c>
      <c r="U24" s="171">
        <v>0</v>
      </c>
      <c r="V24" s="171">
        <v>0</v>
      </c>
      <c r="W24" s="171">
        <v>0</v>
      </c>
      <c r="X24" s="171">
        <v>0</v>
      </c>
      <c r="Y24" s="171">
        <v>0</v>
      </c>
      <c r="Z24" s="207">
        <v>0</v>
      </c>
    </row>
    <row r="25" spans="1:26" s="93" customFormat="1" ht="21" customHeight="1" x14ac:dyDescent="0.35">
      <c r="B25" s="28"/>
    </row>
    <row r="26" spans="1:26" ht="24" customHeight="1" x14ac:dyDescent="0.35">
      <c r="A26" s="87"/>
      <c r="B26" s="28"/>
    </row>
  </sheetData>
  <mergeCells count="14">
    <mergeCell ref="A17:A18"/>
    <mergeCell ref="A19:A20"/>
    <mergeCell ref="A21:A22"/>
    <mergeCell ref="A23:A24"/>
    <mergeCell ref="T10:U10"/>
    <mergeCell ref="V10:Z10"/>
    <mergeCell ref="A10:A11"/>
    <mergeCell ref="A13:A14"/>
    <mergeCell ref="A15:A16"/>
    <mergeCell ref="C10:E10"/>
    <mergeCell ref="F10:I10"/>
    <mergeCell ref="J10:M10"/>
    <mergeCell ref="N10:Q10"/>
    <mergeCell ref="R10:S10"/>
  </mergeCells>
  <pageMargins left="0.7" right="0.7" top="0.75" bottom="0.75" header="0.511811023622047" footer="0.511811023622047"/>
  <pageSetup paperSize="9" orientation="portrait" useFirstPageNumber="1"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Feuil21"/>
  <dimension ref="A1:AA26"/>
  <sheetViews>
    <sheetView showGridLines="0" zoomScale="60" zoomScaleNormal="60" workbookViewId="0"/>
  </sheetViews>
  <sheetFormatPr defaultColWidth="20.6328125" defaultRowHeight="19" customHeight="1" x14ac:dyDescent="0.4"/>
  <cols>
    <col min="1" max="1" width="8.81640625" style="101" customWidth="1"/>
    <col min="2" max="2" width="100.6328125" style="3" customWidth="1"/>
    <col min="3" max="3" width="20.6328125" style="2"/>
    <col min="4" max="23" width="20.6328125" style="1"/>
    <col min="24" max="27" width="20.6328125" style="101"/>
    <col min="28" max="16384" width="20.6328125" style="102"/>
  </cols>
  <sheetData>
    <row r="1" spans="1:27" x14ac:dyDescent="0.4">
      <c r="B1" s="37" t="s">
        <v>0</v>
      </c>
    </row>
    <row r="2" spans="1:27" x14ac:dyDescent="0.4">
      <c r="B2" s="3" t="s">
        <v>442</v>
      </c>
    </row>
    <row r="3" spans="1:27" x14ac:dyDescent="0.4">
      <c r="B3" s="3" t="s">
        <v>1</v>
      </c>
      <c r="D3" s="2"/>
      <c r="E3" s="2"/>
      <c r="F3" s="2"/>
      <c r="G3" s="2"/>
      <c r="H3" s="2"/>
      <c r="I3" s="2"/>
      <c r="J3" s="2"/>
      <c r="K3" s="2"/>
      <c r="L3" s="2"/>
      <c r="M3" s="2"/>
      <c r="N3" s="2"/>
      <c r="O3" s="2"/>
      <c r="P3" s="2"/>
      <c r="Q3" s="2"/>
      <c r="R3" s="2"/>
      <c r="S3" s="2"/>
      <c r="T3" s="2"/>
      <c r="U3" s="2"/>
      <c r="V3" s="2"/>
      <c r="W3" s="2"/>
    </row>
    <row r="4" spans="1:27" x14ac:dyDescent="0.4">
      <c r="B4" s="3" t="s">
        <v>2</v>
      </c>
    </row>
    <row r="6" spans="1:27" s="217" customFormat="1" ht="19" customHeight="1" x14ac:dyDescent="0.5">
      <c r="A6" s="216"/>
      <c r="B6" s="28" t="s">
        <v>371</v>
      </c>
      <c r="C6" s="2"/>
      <c r="D6" s="2"/>
      <c r="E6" s="2"/>
      <c r="F6" s="2"/>
      <c r="G6" s="2"/>
      <c r="H6" s="2"/>
      <c r="I6" s="2"/>
      <c r="J6" s="2"/>
      <c r="K6" s="2"/>
      <c r="L6" s="2"/>
      <c r="M6" s="2"/>
      <c r="N6" s="2"/>
      <c r="O6" s="2"/>
      <c r="P6" s="2"/>
      <c r="Q6" s="2"/>
      <c r="R6" s="2"/>
      <c r="S6" s="2"/>
      <c r="T6" s="2"/>
      <c r="U6" s="2"/>
      <c r="V6" s="2"/>
      <c r="W6" s="2"/>
      <c r="X6" s="216"/>
      <c r="Y6" s="216"/>
      <c r="Z6" s="216"/>
      <c r="AA6" s="216"/>
    </row>
    <row r="7" spans="1:27" ht="19.5" customHeight="1" x14ac:dyDescent="0.4">
      <c r="B7" s="215" t="s">
        <v>415</v>
      </c>
    </row>
    <row r="8" spans="1:27" ht="19" customHeight="1" thickBot="1" x14ac:dyDescent="0.45"/>
    <row r="9" spans="1:27" ht="19.5" customHeight="1" x14ac:dyDescent="0.4">
      <c r="B9" s="5"/>
      <c r="C9" s="6" t="s">
        <v>21</v>
      </c>
      <c r="D9" s="221" t="s">
        <v>22</v>
      </c>
      <c r="E9" s="222"/>
      <c r="F9" s="221" t="s">
        <v>23</v>
      </c>
      <c r="G9" s="222"/>
      <c r="H9" s="222"/>
      <c r="I9" s="222"/>
      <c r="J9" s="221" t="s">
        <v>24</v>
      </c>
      <c r="K9" s="222"/>
      <c r="L9" s="222"/>
      <c r="M9" s="221" t="s">
        <v>25</v>
      </c>
      <c r="N9" s="222"/>
      <c r="O9" s="222"/>
      <c r="P9" s="222"/>
      <c r="Q9" s="221" t="s">
        <v>26</v>
      </c>
      <c r="R9" s="222"/>
      <c r="S9" s="222"/>
      <c r="T9" s="221" t="s">
        <v>27</v>
      </c>
      <c r="U9" s="222"/>
      <c r="V9" s="222"/>
      <c r="W9" s="222"/>
      <c r="X9" s="221" t="s">
        <v>28</v>
      </c>
      <c r="Y9" s="222"/>
      <c r="Z9" s="221" t="s">
        <v>29</v>
      </c>
      <c r="AA9" s="223"/>
    </row>
    <row r="10" spans="1:27" s="89" customFormat="1" ht="57" customHeight="1" thickBot="1" x14ac:dyDescent="0.45">
      <c r="A10" s="2"/>
      <c r="B10" s="91"/>
      <c r="C10" s="7" t="e" vm="1">
        <v>#VALUE!</v>
      </c>
      <c r="D10" s="8" t="s">
        <v>30</v>
      </c>
      <c r="E10" s="9" t="s">
        <v>31</v>
      </c>
      <c r="F10" s="10" t="s">
        <v>32</v>
      </c>
      <c r="G10" s="11" t="s">
        <v>33</v>
      </c>
      <c r="H10" s="12" t="s">
        <v>34</v>
      </c>
      <c r="I10" s="9" t="s">
        <v>35</v>
      </c>
      <c r="J10" s="10" t="s">
        <v>36</v>
      </c>
      <c r="K10" s="12" t="s">
        <v>37</v>
      </c>
      <c r="L10" s="9" t="s">
        <v>38</v>
      </c>
      <c r="M10" s="10" t="s">
        <v>39</v>
      </c>
      <c r="N10" s="11" t="s">
        <v>40</v>
      </c>
      <c r="O10" s="12" t="s">
        <v>41</v>
      </c>
      <c r="P10" s="9" t="s">
        <v>42</v>
      </c>
      <c r="Q10" s="10" t="s">
        <v>43</v>
      </c>
      <c r="R10" s="12" t="s">
        <v>44</v>
      </c>
      <c r="S10" s="9" t="s">
        <v>45</v>
      </c>
      <c r="T10" s="34">
        <v>1</v>
      </c>
      <c r="U10" s="35">
        <v>2</v>
      </c>
      <c r="V10" s="36">
        <v>3</v>
      </c>
      <c r="W10" s="9" t="s">
        <v>46</v>
      </c>
      <c r="X10" s="13" t="s">
        <v>409</v>
      </c>
      <c r="Y10" s="9" t="s">
        <v>410</v>
      </c>
      <c r="Z10" s="10" t="s">
        <v>409</v>
      </c>
      <c r="AA10" s="31" t="s">
        <v>410</v>
      </c>
    </row>
    <row r="11" spans="1:27" s="94" customFormat="1" ht="18.75" customHeight="1" x14ac:dyDescent="0.35">
      <c r="A11" s="26"/>
      <c r="B11" s="14" t="s">
        <v>49</v>
      </c>
      <c r="C11" s="26">
        <v>27292</v>
      </c>
      <c r="D11" s="39">
        <v>13488</v>
      </c>
      <c r="E11" s="26">
        <v>13685</v>
      </c>
      <c r="F11" s="40">
        <v>3682</v>
      </c>
      <c r="G11" s="41">
        <v>7667</v>
      </c>
      <c r="H11" s="42">
        <v>7751</v>
      </c>
      <c r="I11" s="26">
        <v>8192</v>
      </c>
      <c r="J11" s="40">
        <v>2780</v>
      </c>
      <c r="K11" s="42">
        <v>9601</v>
      </c>
      <c r="L11" s="26">
        <v>12258</v>
      </c>
      <c r="M11" s="40">
        <v>2997</v>
      </c>
      <c r="N11" s="41">
        <v>14034</v>
      </c>
      <c r="O11" s="42">
        <v>2839</v>
      </c>
      <c r="P11" s="26">
        <v>6900</v>
      </c>
      <c r="Q11" s="40">
        <v>10494</v>
      </c>
      <c r="R11" s="42">
        <v>10245</v>
      </c>
      <c r="S11" s="26">
        <v>6421</v>
      </c>
      <c r="T11" s="40">
        <v>6218</v>
      </c>
      <c r="U11" s="41">
        <v>10287</v>
      </c>
      <c r="V11" s="42">
        <v>4457</v>
      </c>
      <c r="W11" s="26">
        <v>3439</v>
      </c>
      <c r="X11" s="39">
        <v>17539</v>
      </c>
      <c r="Y11" s="26">
        <v>8634</v>
      </c>
      <c r="Z11" s="40">
        <v>11191</v>
      </c>
      <c r="AA11" s="43">
        <v>14524</v>
      </c>
    </row>
    <row r="12" spans="1:27" s="94" customFormat="1" ht="18.75" customHeight="1" thickBot="1" x14ac:dyDescent="0.4">
      <c r="A12" s="26"/>
      <c r="B12" s="15" t="s">
        <v>50</v>
      </c>
      <c r="C12" s="44">
        <v>27292</v>
      </c>
      <c r="D12" s="45">
        <v>13117</v>
      </c>
      <c r="E12" s="46">
        <v>14056</v>
      </c>
      <c r="F12" s="45">
        <v>3535</v>
      </c>
      <c r="G12" s="47">
        <v>6272</v>
      </c>
      <c r="H12" s="47">
        <v>6843</v>
      </c>
      <c r="I12" s="46">
        <v>10643</v>
      </c>
      <c r="J12" s="45">
        <v>5987</v>
      </c>
      <c r="K12" s="47">
        <v>10797</v>
      </c>
      <c r="L12" s="46">
        <v>7855</v>
      </c>
      <c r="M12" s="45">
        <v>2765</v>
      </c>
      <c r="N12" s="47">
        <v>12846</v>
      </c>
      <c r="O12" s="47">
        <v>2724</v>
      </c>
      <c r="P12" s="46">
        <v>8517</v>
      </c>
      <c r="Q12" s="45">
        <v>10940</v>
      </c>
      <c r="R12" s="47">
        <v>9369</v>
      </c>
      <c r="S12" s="46">
        <v>6851</v>
      </c>
      <c r="T12" s="45">
        <v>7012</v>
      </c>
      <c r="U12" s="47">
        <v>10099</v>
      </c>
      <c r="V12" s="47">
        <v>3919</v>
      </c>
      <c r="W12" s="46">
        <v>2709</v>
      </c>
      <c r="X12" s="45">
        <v>18568</v>
      </c>
      <c r="Y12" s="46">
        <v>7508</v>
      </c>
      <c r="Z12" s="45">
        <v>11570</v>
      </c>
      <c r="AA12" s="48">
        <v>13901</v>
      </c>
    </row>
    <row r="13" spans="1:27" s="93" customFormat="1" ht="21" customHeight="1" x14ac:dyDescent="0.35">
      <c r="A13" s="65"/>
      <c r="B13" s="224" t="s">
        <v>372</v>
      </c>
      <c r="C13" s="63">
        <v>5987</v>
      </c>
      <c r="D13" s="64">
        <v>2917</v>
      </c>
      <c r="E13" s="65">
        <v>3049</v>
      </c>
      <c r="F13" s="66">
        <v>695</v>
      </c>
      <c r="G13" s="67">
        <v>1509</v>
      </c>
      <c r="H13" s="68">
        <v>1188</v>
      </c>
      <c r="I13" s="65">
        <v>2594</v>
      </c>
      <c r="J13" s="66">
        <v>5987</v>
      </c>
      <c r="K13" s="68">
        <v>0</v>
      </c>
      <c r="L13" s="65">
        <v>0</v>
      </c>
      <c r="M13" s="66">
        <v>601</v>
      </c>
      <c r="N13" s="67">
        <v>2292</v>
      </c>
      <c r="O13" s="68">
        <v>851</v>
      </c>
      <c r="P13" s="65">
        <v>2163</v>
      </c>
      <c r="Q13" s="66">
        <v>2343</v>
      </c>
      <c r="R13" s="68">
        <v>1996</v>
      </c>
      <c r="S13" s="65">
        <v>1627</v>
      </c>
      <c r="T13" s="66">
        <v>1683</v>
      </c>
      <c r="U13" s="67">
        <v>1938</v>
      </c>
      <c r="V13" s="68">
        <v>771</v>
      </c>
      <c r="W13" s="65">
        <v>498</v>
      </c>
      <c r="X13" s="64">
        <v>4358</v>
      </c>
      <c r="Y13" s="65">
        <v>1403</v>
      </c>
      <c r="Z13" s="66">
        <v>2841</v>
      </c>
      <c r="AA13" s="69">
        <v>2746</v>
      </c>
    </row>
    <row r="14" spans="1:27" s="87" customFormat="1" ht="24" customHeight="1" x14ac:dyDescent="0.35">
      <c r="A14" s="1"/>
      <c r="B14" s="225"/>
      <c r="C14" s="49">
        <v>0.22</v>
      </c>
      <c r="D14" s="50">
        <v>0.22</v>
      </c>
      <c r="E14" s="51">
        <v>0.22</v>
      </c>
      <c r="F14" s="50">
        <v>0.2</v>
      </c>
      <c r="G14" s="51">
        <v>0.24</v>
      </c>
      <c r="H14" s="51">
        <v>0.17</v>
      </c>
      <c r="I14" s="51">
        <v>0.24</v>
      </c>
      <c r="J14" s="50">
        <v>1</v>
      </c>
      <c r="K14" s="51">
        <v>0</v>
      </c>
      <c r="L14" s="51">
        <v>0</v>
      </c>
      <c r="M14" s="50">
        <v>0.22</v>
      </c>
      <c r="N14" s="51">
        <v>0.18</v>
      </c>
      <c r="O14" s="51">
        <v>0.31</v>
      </c>
      <c r="P14" s="51">
        <v>0.25</v>
      </c>
      <c r="Q14" s="50">
        <v>0.21</v>
      </c>
      <c r="R14" s="51">
        <v>0.21</v>
      </c>
      <c r="S14" s="51">
        <v>0.24</v>
      </c>
      <c r="T14" s="50">
        <v>0.24</v>
      </c>
      <c r="U14" s="51">
        <v>0.19</v>
      </c>
      <c r="V14" s="51">
        <v>0.2</v>
      </c>
      <c r="W14" s="51">
        <v>0.18</v>
      </c>
      <c r="X14" s="50">
        <v>0.23</v>
      </c>
      <c r="Y14" s="51">
        <v>0.19</v>
      </c>
      <c r="Z14" s="50">
        <v>0.25</v>
      </c>
      <c r="AA14" s="52">
        <v>0.2</v>
      </c>
    </row>
    <row r="15" spans="1:27" s="93" customFormat="1" ht="21" customHeight="1" x14ac:dyDescent="0.35">
      <c r="A15" s="65"/>
      <c r="B15" s="228" t="s">
        <v>37</v>
      </c>
      <c r="C15" s="63">
        <v>10797</v>
      </c>
      <c r="D15" s="70">
        <v>5145</v>
      </c>
      <c r="E15" s="65">
        <v>5629</v>
      </c>
      <c r="F15" s="71">
        <v>1522</v>
      </c>
      <c r="G15" s="72">
        <v>1828</v>
      </c>
      <c r="H15" s="73">
        <v>2626</v>
      </c>
      <c r="I15" s="65">
        <v>4821</v>
      </c>
      <c r="J15" s="71">
        <v>0</v>
      </c>
      <c r="K15" s="73">
        <v>10797</v>
      </c>
      <c r="L15" s="65">
        <v>0</v>
      </c>
      <c r="M15" s="71">
        <v>954</v>
      </c>
      <c r="N15" s="72">
        <v>4733</v>
      </c>
      <c r="O15" s="73">
        <v>1032</v>
      </c>
      <c r="P15" s="65">
        <v>3969</v>
      </c>
      <c r="Q15" s="71">
        <v>4093</v>
      </c>
      <c r="R15" s="73">
        <v>3765</v>
      </c>
      <c r="S15" s="65">
        <v>2917</v>
      </c>
      <c r="T15" s="71">
        <v>2826</v>
      </c>
      <c r="U15" s="72">
        <v>4262</v>
      </c>
      <c r="V15" s="73">
        <v>1576</v>
      </c>
      <c r="W15" s="65">
        <v>1082</v>
      </c>
      <c r="X15" s="70">
        <v>7169</v>
      </c>
      <c r="Y15" s="65">
        <v>3146</v>
      </c>
      <c r="Z15" s="71">
        <v>4353</v>
      </c>
      <c r="AA15" s="74">
        <v>5693</v>
      </c>
    </row>
    <row r="16" spans="1:27" s="87" customFormat="1" ht="24" customHeight="1" x14ac:dyDescent="0.35">
      <c r="A16" s="1"/>
      <c r="B16" s="225"/>
      <c r="C16" s="49">
        <v>0.39</v>
      </c>
      <c r="D16" s="50">
        <v>0.39</v>
      </c>
      <c r="E16" s="51">
        <v>0.4</v>
      </c>
      <c r="F16" s="50">
        <v>0.43</v>
      </c>
      <c r="G16" s="51">
        <v>0.29000000000000004</v>
      </c>
      <c r="H16" s="51">
        <v>0.39</v>
      </c>
      <c r="I16" s="51">
        <v>0.45999999999999996</v>
      </c>
      <c r="J16" s="50">
        <v>0</v>
      </c>
      <c r="K16" s="51">
        <v>1</v>
      </c>
      <c r="L16" s="51">
        <v>0</v>
      </c>
      <c r="M16" s="50">
        <v>0.34000000000000008</v>
      </c>
      <c r="N16" s="51">
        <v>0.37000000000000005</v>
      </c>
      <c r="O16" s="51">
        <v>0.37999999999999995</v>
      </c>
      <c r="P16" s="51">
        <v>0.47</v>
      </c>
      <c r="Q16" s="50">
        <v>0.38</v>
      </c>
      <c r="R16" s="51">
        <v>0.4</v>
      </c>
      <c r="S16" s="51">
        <v>0.42000000000000004</v>
      </c>
      <c r="T16" s="50">
        <v>0.4</v>
      </c>
      <c r="U16" s="51">
        <v>0.42</v>
      </c>
      <c r="V16" s="51">
        <v>0.39999999999999997</v>
      </c>
      <c r="W16" s="51">
        <v>0.39999999999999997</v>
      </c>
      <c r="X16" s="50">
        <v>0.39</v>
      </c>
      <c r="Y16" s="51">
        <v>0.42</v>
      </c>
      <c r="Z16" s="50">
        <v>0.37</v>
      </c>
      <c r="AA16" s="52">
        <v>0.41</v>
      </c>
    </row>
    <row r="17" spans="1:27" s="93" customFormat="1" ht="21" customHeight="1" x14ac:dyDescent="0.35">
      <c r="A17" s="65"/>
      <c r="B17" s="228" t="s">
        <v>38</v>
      </c>
      <c r="C17" s="63">
        <v>7855</v>
      </c>
      <c r="D17" s="70">
        <v>3859</v>
      </c>
      <c r="E17" s="65">
        <v>3954</v>
      </c>
      <c r="F17" s="71">
        <v>976</v>
      </c>
      <c r="G17" s="72">
        <v>2170</v>
      </c>
      <c r="H17" s="73">
        <v>2192</v>
      </c>
      <c r="I17" s="65">
        <v>2517</v>
      </c>
      <c r="J17" s="71">
        <v>0</v>
      </c>
      <c r="K17" s="73">
        <v>0</v>
      </c>
      <c r="L17" s="65">
        <v>7855</v>
      </c>
      <c r="M17" s="71">
        <v>925</v>
      </c>
      <c r="N17" s="72">
        <v>4737</v>
      </c>
      <c r="O17" s="73">
        <v>465</v>
      </c>
      <c r="P17" s="65">
        <v>1660</v>
      </c>
      <c r="Q17" s="71">
        <v>3585</v>
      </c>
      <c r="R17" s="73">
        <v>2636</v>
      </c>
      <c r="S17" s="65">
        <v>1618</v>
      </c>
      <c r="T17" s="71">
        <v>1911</v>
      </c>
      <c r="U17" s="72">
        <v>3142</v>
      </c>
      <c r="V17" s="73">
        <v>1269</v>
      </c>
      <c r="W17" s="65">
        <v>842</v>
      </c>
      <c r="X17" s="70">
        <v>5400</v>
      </c>
      <c r="Y17" s="65">
        <v>2195</v>
      </c>
      <c r="Z17" s="71">
        <v>3300</v>
      </c>
      <c r="AA17" s="74">
        <v>4245</v>
      </c>
    </row>
    <row r="18" spans="1:27" s="87" customFormat="1" ht="24" customHeight="1" x14ac:dyDescent="0.35">
      <c r="A18" s="1"/>
      <c r="B18" s="225"/>
      <c r="C18" s="49">
        <v>0.29000000000000004</v>
      </c>
      <c r="D18" s="50">
        <v>0.30000000000000004</v>
      </c>
      <c r="E18" s="51">
        <v>0.28000000000000003</v>
      </c>
      <c r="F18" s="50">
        <v>0.27</v>
      </c>
      <c r="G18" s="51">
        <v>0.35</v>
      </c>
      <c r="H18" s="51">
        <v>0.31999999999999995</v>
      </c>
      <c r="I18" s="51">
        <v>0.23000000000000009</v>
      </c>
      <c r="J18" s="50">
        <v>0</v>
      </c>
      <c r="K18" s="51">
        <v>0</v>
      </c>
      <c r="L18" s="51">
        <v>1</v>
      </c>
      <c r="M18" s="50">
        <v>0.33999999999999997</v>
      </c>
      <c r="N18" s="51">
        <v>0.37</v>
      </c>
      <c r="O18" s="51">
        <v>0.17000000000000004</v>
      </c>
      <c r="P18" s="51">
        <v>0.19000000000000006</v>
      </c>
      <c r="Q18" s="50">
        <v>0.33000000000000007</v>
      </c>
      <c r="R18" s="51">
        <v>0.29000000000000004</v>
      </c>
      <c r="S18" s="51">
        <v>0.24</v>
      </c>
      <c r="T18" s="50">
        <v>0.28000000000000003</v>
      </c>
      <c r="U18" s="51">
        <v>0.32000000000000006</v>
      </c>
      <c r="V18" s="51">
        <v>0.32000000000000006</v>
      </c>
      <c r="W18" s="51">
        <v>0.31000000000000005</v>
      </c>
      <c r="X18" s="50">
        <v>0.29000000000000004</v>
      </c>
      <c r="Y18" s="51">
        <v>0.29000000000000004</v>
      </c>
      <c r="Z18" s="50">
        <v>0.29000000000000004</v>
      </c>
      <c r="AA18" s="52">
        <v>0.30000000000000004</v>
      </c>
    </row>
    <row r="19" spans="1:27" s="93" customFormat="1" ht="21" customHeight="1" x14ac:dyDescent="0.35">
      <c r="A19" s="65"/>
      <c r="B19" s="258" t="s">
        <v>373</v>
      </c>
      <c r="C19" s="63">
        <v>2653</v>
      </c>
      <c r="D19" s="70">
        <v>1197</v>
      </c>
      <c r="E19" s="65">
        <v>1424</v>
      </c>
      <c r="F19" s="71">
        <v>341</v>
      </c>
      <c r="G19" s="72">
        <v>765</v>
      </c>
      <c r="H19" s="73">
        <v>837</v>
      </c>
      <c r="I19" s="65">
        <v>710</v>
      </c>
      <c r="J19" s="71">
        <v>0</v>
      </c>
      <c r="K19" s="73">
        <v>0</v>
      </c>
      <c r="L19" s="65">
        <v>0</v>
      </c>
      <c r="M19" s="71">
        <v>284</v>
      </c>
      <c r="N19" s="72">
        <v>1083</v>
      </c>
      <c r="O19" s="73">
        <v>376</v>
      </c>
      <c r="P19" s="65">
        <v>726</v>
      </c>
      <c r="Q19" s="85">
        <v>919</v>
      </c>
      <c r="R19" s="65">
        <v>973</v>
      </c>
      <c r="S19" s="86">
        <v>689</v>
      </c>
      <c r="T19" s="65">
        <v>592</v>
      </c>
      <c r="U19" s="65">
        <v>757</v>
      </c>
      <c r="V19" s="65">
        <v>303</v>
      </c>
      <c r="W19" s="86">
        <v>286</v>
      </c>
      <c r="X19" s="65">
        <v>1640</v>
      </c>
      <c r="Y19" s="86">
        <v>764</v>
      </c>
      <c r="Z19" s="65">
        <v>1076</v>
      </c>
      <c r="AA19" s="86">
        <v>1217</v>
      </c>
    </row>
    <row r="20" spans="1:27" s="87" customFormat="1" ht="24" customHeight="1" thickBot="1" x14ac:dyDescent="0.4">
      <c r="A20" s="1"/>
      <c r="B20" s="232"/>
      <c r="C20" s="59">
        <v>9.9999999999999978E-2</v>
      </c>
      <c r="D20" s="60">
        <v>8.9999999999999969E-2</v>
      </c>
      <c r="E20" s="61">
        <v>9.9999999999999978E-2</v>
      </c>
      <c r="F20" s="60">
        <v>9.9999999999999978E-2</v>
      </c>
      <c r="G20" s="61">
        <v>0.12</v>
      </c>
      <c r="H20" s="61">
        <v>0.12</v>
      </c>
      <c r="I20" s="61">
        <v>6.9999999999999951E-2</v>
      </c>
      <c r="J20" s="60">
        <v>0</v>
      </c>
      <c r="K20" s="61">
        <v>0</v>
      </c>
      <c r="L20" s="61">
        <v>0</v>
      </c>
      <c r="M20" s="60">
        <v>9.9999999999999978E-2</v>
      </c>
      <c r="N20" s="61">
        <v>7.999999999999996E-2</v>
      </c>
      <c r="O20" s="61">
        <v>0.14000000000000001</v>
      </c>
      <c r="P20" s="61">
        <v>8.9999999999999969E-2</v>
      </c>
      <c r="Q20" s="82">
        <v>7.999999999999996E-2</v>
      </c>
      <c r="R20" s="83">
        <v>9.9999999999999978E-2</v>
      </c>
      <c r="S20" s="84">
        <v>9.9999999999999978E-2</v>
      </c>
      <c r="T20" s="83">
        <v>7.999999999999996E-2</v>
      </c>
      <c r="U20" s="83">
        <v>6.9999999999999951E-2</v>
      </c>
      <c r="V20" s="83">
        <v>7.999999999999996E-2</v>
      </c>
      <c r="W20" s="84">
        <v>0.10999999999999999</v>
      </c>
      <c r="X20" s="83">
        <v>8.9999999999999969E-2</v>
      </c>
      <c r="Y20" s="84">
        <v>9.9999999999999978E-2</v>
      </c>
      <c r="Z20" s="83">
        <v>8.9999999999999969E-2</v>
      </c>
      <c r="AA20" s="84">
        <v>8.9999999999999969E-2</v>
      </c>
    </row>
    <row r="21" spans="1:27" s="87" customFormat="1" ht="24" customHeight="1" x14ac:dyDescent="0.35">
      <c r="A21" s="1"/>
      <c r="B21" s="3"/>
      <c r="C21" s="2"/>
      <c r="D21" s="1"/>
      <c r="E21" s="1"/>
      <c r="F21" s="1"/>
      <c r="G21" s="1"/>
      <c r="H21" s="1"/>
      <c r="I21" s="1"/>
      <c r="J21" s="1"/>
      <c r="K21" s="1"/>
      <c r="L21" s="1"/>
      <c r="M21" s="1"/>
      <c r="N21" s="1"/>
      <c r="O21" s="1"/>
      <c r="P21" s="1"/>
      <c r="Q21" s="1"/>
      <c r="R21" s="1"/>
      <c r="S21" s="1"/>
      <c r="T21" s="1"/>
      <c r="U21" s="1"/>
      <c r="V21" s="1"/>
      <c r="W21" s="1"/>
      <c r="X21" s="1"/>
      <c r="Y21" s="1"/>
      <c r="Z21" s="1"/>
      <c r="AA21" s="1"/>
    </row>
    <row r="22" spans="1:27" s="93" customFormat="1" ht="21" customHeight="1" x14ac:dyDescent="0.35">
      <c r="A22" s="65"/>
      <c r="B22" s="3"/>
      <c r="C22" s="63"/>
      <c r="D22" s="65"/>
      <c r="E22" s="65"/>
      <c r="F22" s="65"/>
      <c r="G22" s="65"/>
      <c r="H22" s="65"/>
      <c r="I22" s="65"/>
      <c r="J22" s="65"/>
      <c r="K22" s="65"/>
      <c r="L22" s="65"/>
      <c r="M22" s="65"/>
      <c r="N22" s="65"/>
      <c r="O22" s="65"/>
      <c r="P22" s="65"/>
      <c r="Q22" s="65"/>
      <c r="R22" s="65"/>
      <c r="S22" s="65"/>
      <c r="T22" s="65"/>
      <c r="U22" s="65"/>
      <c r="V22" s="65"/>
      <c r="W22" s="65"/>
      <c r="X22" s="65"/>
      <c r="Y22" s="65"/>
      <c r="Z22" s="65"/>
      <c r="AA22" s="65"/>
    </row>
    <row r="23" spans="1:27" s="87" customFormat="1" ht="24" customHeight="1" x14ac:dyDescent="0.35">
      <c r="A23" s="1"/>
      <c r="B23" s="3"/>
      <c r="C23" s="2"/>
      <c r="D23" s="1"/>
      <c r="E23" s="1"/>
      <c r="F23" s="1"/>
      <c r="G23" s="1"/>
      <c r="H23" s="1"/>
      <c r="I23" s="1"/>
      <c r="J23" s="1"/>
      <c r="K23" s="1"/>
      <c r="L23" s="1"/>
      <c r="M23" s="1"/>
      <c r="N23" s="1"/>
      <c r="O23" s="1"/>
      <c r="P23" s="1"/>
      <c r="Q23" s="1"/>
      <c r="R23" s="1"/>
      <c r="S23" s="1"/>
      <c r="T23" s="1"/>
      <c r="U23" s="1"/>
      <c r="V23" s="1"/>
      <c r="W23" s="1"/>
      <c r="X23" s="1"/>
      <c r="Y23" s="1"/>
      <c r="Z23" s="1"/>
      <c r="AA23" s="1"/>
    </row>
    <row r="24" spans="1:27" x14ac:dyDescent="0.4"/>
    <row r="25" spans="1:27" ht="24" customHeight="1" x14ac:dyDescent="0.4"/>
    <row r="26" spans="1:27" ht="19" customHeight="1" x14ac:dyDescent="0.4">
      <c r="B26" s="1"/>
    </row>
  </sheetData>
  <mergeCells count="12">
    <mergeCell ref="B15:B16"/>
    <mergeCell ref="B17:B18"/>
    <mergeCell ref="B19:B20"/>
    <mergeCell ref="T9:W9"/>
    <mergeCell ref="X9:Y9"/>
    <mergeCell ref="Z9:AA9"/>
    <mergeCell ref="B13:B14"/>
    <mergeCell ref="D9:E9"/>
    <mergeCell ref="F9:I9"/>
    <mergeCell ref="J9:L9"/>
    <mergeCell ref="M9:P9"/>
    <mergeCell ref="Q9:S9"/>
  </mergeCells>
  <hyperlinks>
    <hyperlink ref="B1" location="'Table of Contents'!A1" display="Home" xr:uid="{48526087-2F1A-C342-A615-5ADFB58D11A1}"/>
  </hyperlinks>
  <pageMargins left="0.7" right="0.7" top="0.75" bottom="0.75" header="0.511811023622047" footer="0.511811023622047"/>
  <pageSetup paperSize="9" orientation="portrait" useFirstPageNumber="1"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Feuil22"/>
  <dimension ref="A1:AA29"/>
  <sheetViews>
    <sheetView showGridLines="0" zoomScale="60" zoomScaleNormal="60" workbookViewId="0"/>
  </sheetViews>
  <sheetFormatPr defaultColWidth="20.6328125" defaultRowHeight="19" customHeight="1" x14ac:dyDescent="0.4"/>
  <cols>
    <col min="1" max="1" width="8.81640625" style="101" customWidth="1"/>
    <col min="2" max="2" width="100.6328125" style="3" customWidth="1"/>
    <col min="3" max="3" width="20.6328125" style="2"/>
    <col min="4" max="23" width="20.6328125" style="1"/>
    <col min="24" max="27" width="20.6328125" style="101"/>
    <col min="28" max="16384" width="20.6328125" style="102"/>
  </cols>
  <sheetData>
    <row r="1" spans="1:27" x14ac:dyDescent="0.4">
      <c r="B1" s="37" t="s">
        <v>0</v>
      </c>
    </row>
    <row r="2" spans="1:27" x14ac:dyDescent="0.4">
      <c r="B2" s="3" t="s">
        <v>442</v>
      </c>
    </row>
    <row r="3" spans="1:27" x14ac:dyDescent="0.4">
      <c r="B3" s="3" t="s">
        <v>1</v>
      </c>
      <c r="D3" s="2"/>
      <c r="E3" s="2"/>
      <c r="F3" s="2"/>
      <c r="G3" s="2"/>
      <c r="H3" s="2"/>
      <c r="I3" s="2"/>
      <c r="J3" s="2"/>
      <c r="K3" s="2"/>
      <c r="L3" s="2"/>
      <c r="M3" s="2"/>
      <c r="N3" s="2"/>
      <c r="O3" s="2"/>
      <c r="P3" s="2"/>
      <c r="Q3" s="2"/>
      <c r="R3" s="2"/>
      <c r="S3" s="2"/>
      <c r="T3" s="2"/>
      <c r="U3" s="2"/>
      <c r="V3" s="2"/>
      <c r="W3" s="2"/>
    </row>
    <row r="4" spans="1:27" x14ac:dyDescent="0.4">
      <c r="B4" s="3" t="s">
        <v>2</v>
      </c>
    </row>
    <row r="6" spans="1:27" s="217" customFormat="1" ht="19" customHeight="1" x14ac:dyDescent="0.5">
      <c r="A6" s="216"/>
      <c r="B6" s="28" t="s">
        <v>374</v>
      </c>
      <c r="C6" s="2"/>
      <c r="D6" s="2"/>
      <c r="E6" s="2"/>
      <c r="F6" s="2"/>
      <c r="G6" s="2"/>
      <c r="H6" s="2"/>
      <c r="I6" s="2"/>
      <c r="J6" s="2"/>
      <c r="K6" s="2"/>
      <c r="L6" s="2"/>
      <c r="M6" s="2"/>
      <c r="N6" s="2"/>
      <c r="O6" s="2"/>
      <c r="P6" s="2"/>
      <c r="Q6" s="2"/>
      <c r="R6" s="2"/>
      <c r="S6" s="2"/>
      <c r="T6" s="2"/>
      <c r="U6" s="2"/>
      <c r="V6" s="2"/>
      <c r="W6" s="2"/>
      <c r="X6" s="216"/>
      <c r="Y6" s="216"/>
      <c r="Z6" s="216"/>
      <c r="AA6" s="216"/>
    </row>
    <row r="7" spans="1:27" ht="19.5" customHeight="1" x14ac:dyDescent="0.4">
      <c r="B7" s="215" t="s">
        <v>415</v>
      </c>
    </row>
    <row r="8" spans="1:27" ht="19" customHeight="1" thickBot="1" x14ac:dyDescent="0.45"/>
    <row r="9" spans="1:27" ht="19.5" customHeight="1" x14ac:dyDescent="0.4">
      <c r="B9" s="5"/>
      <c r="C9" s="6" t="s">
        <v>21</v>
      </c>
      <c r="D9" s="221" t="s">
        <v>22</v>
      </c>
      <c r="E9" s="222"/>
      <c r="F9" s="221" t="s">
        <v>23</v>
      </c>
      <c r="G9" s="222"/>
      <c r="H9" s="222"/>
      <c r="I9" s="222"/>
      <c r="J9" s="221" t="s">
        <v>24</v>
      </c>
      <c r="K9" s="222"/>
      <c r="L9" s="222"/>
      <c r="M9" s="221" t="s">
        <v>25</v>
      </c>
      <c r="N9" s="222"/>
      <c r="O9" s="222"/>
      <c r="P9" s="222"/>
      <c r="Q9" s="221" t="s">
        <v>26</v>
      </c>
      <c r="R9" s="222"/>
      <c r="S9" s="222"/>
      <c r="T9" s="221" t="s">
        <v>27</v>
      </c>
      <c r="U9" s="222"/>
      <c r="V9" s="222"/>
      <c r="W9" s="222"/>
      <c r="X9" s="221" t="s">
        <v>28</v>
      </c>
      <c r="Y9" s="222"/>
      <c r="Z9" s="221" t="s">
        <v>29</v>
      </c>
      <c r="AA9" s="223"/>
    </row>
    <row r="10" spans="1:27" s="89" customFormat="1" ht="57" customHeight="1" thickBot="1" x14ac:dyDescent="0.45">
      <c r="A10" s="2"/>
      <c r="B10" s="91"/>
      <c r="C10" s="7" t="e" vm="1">
        <v>#VALUE!</v>
      </c>
      <c r="D10" s="8" t="s">
        <v>30</v>
      </c>
      <c r="E10" s="9" t="s">
        <v>31</v>
      </c>
      <c r="F10" s="10" t="s">
        <v>32</v>
      </c>
      <c r="G10" s="11" t="s">
        <v>33</v>
      </c>
      <c r="H10" s="12" t="s">
        <v>34</v>
      </c>
      <c r="I10" s="9" t="s">
        <v>35</v>
      </c>
      <c r="J10" s="10" t="s">
        <v>36</v>
      </c>
      <c r="K10" s="12" t="s">
        <v>37</v>
      </c>
      <c r="L10" s="9" t="s">
        <v>38</v>
      </c>
      <c r="M10" s="10" t="s">
        <v>39</v>
      </c>
      <c r="N10" s="11" t="s">
        <v>40</v>
      </c>
      <c r="O10" s="12" t="s">
        <v>41</v>
      </c>
      <c r="P10" s="9" t="s">
        <v>42</v>
      </c>
      <c r="Q10" s="10" t="s">
        <v>43</v>
      </c>
      <c r="R10" s="12" t="s">
        <v>44</v>
      </c>
      <c r="S10" s="9" t="s">
        <v>45</v>
      </c>
      <c r="T10" s="34">
        <v>1</v>
      </c>
      <c r="U10" s="35">
        <v>2</v>
      </c>
      <c r="V10" s="36">
        <v>3</v>
      </c>
      <c r="W10" s="9" t="s">
        <v>46</v>
      </c>
      <c r="X10" s="13" t="s">
        <v>409</v>
      </c>
      <c r="Y10" s="9" t="s">
        <v>410</v>
      </c>
      <c r="Z10" s="10" t="s">
        <v>409</v>
      </c>
      <c r="AA10" s="31" t="s">
        <v>410</v>
      </c>
    </row>
    <row r="11" spans="1:27" s="94" customFormat="1" ht="18.75" customHeight="1" x14ac:dyDescent="0.35">
      <c r="A11" s="26"/>
      <c r="B11" s="14" t="s">
        <v>49</v>
      </c>
      <c r="C11" s="26">
        <v>27292</v>
      </c>
      <c r="D11" s="39">
        <v>13488</v>
      </c>
      <c r="E11" s="26">
        <v>13685</v>
      </c>
      <c r="F11" s="40">
        <v>3682</v>
      </c>
      <c r="G11" s="41">
        <v>7667</v>
      </c>
      <c r="H11" s="42">
        <v>7751</v>
      </c>
      <c r="I11" s="26">
        <v>8192</v>
      </c>
      <c r="J11" s="40">
        <v>2780</v>
      </c>
      <c r="K11" s="42">
        <v>9601</v>
      </c>
      <c r="L11" s="26">
        <v>12258</v>
      </c>
      <c r="M11" s="40">
        <v>2997</v>
      </c>
      <c r="N11" s="41">
        <v>14034</v>
      </c>
      <c r="O11" s="42">
        <v>2839</v>
      </c>
      <c r="P11" s="26">
        <v>6900</v>
      </c>
      <c r="Q11" s="40">
        <v>10494</v>
      </c>
      <c r="R11" s="42">
        <v>10245</v>
      </c>
      <c r="S11" s="26">
        <v>6421</v>
      </c>
      <c r="T11" s="40">
        <v>6218</v>
      </c>
      <c r="U11" s="41">
        <v>10287</v>
      </c>
      <c r="V11" s="42">
        <v>4457</v>
      </c>
      <c r="W11" s="26">
        <v>3439</v>
      </c>
      <c r="X11" s="39">
        <v>17539</v>
      </c>
      <c r="Y11" s="26">
        <v>8634</v>
      </c>
      <c r="Z11" s="40">
        <v>11191</v>
      </c>
      <c r="AA11" s="43">
        <v>14524</v>
      </c>
    </row>
    <row r="12" spans="1:27" s="94" customFormat="1" ht="18.75" customHeight="1" thickBot="1" x14ac:dyDescent="0.4">
      <c r="A12" s="26"/>
      <c r="B12" s="15" t="s">
        <v>50</v>
      </c>
      <c r="C12" s="44">
        <v>27292</v>
      </c>
      <c r="D12" s="45">
        <v>13117</v>
      </c>
      <c r="E12" s="46">
        <v>14056</v>
      </c>
      <c r="F12" s="45">
        <v>3535</v>
      </c>
      <c r="G12" s="47">
        <v>6272</v>
      </c>
      <c r="H12" s="47">
        <v>6843</v>
      </c>
      <c r="I12" s="46">
        <v>10643</v>
      </c>
      <c r="J12" s="45">
        <v>5987</v>
      </c>
      <c r="K12" s="47">
        <v>10797</v>
      </c>
      <c r="L12" s="46">
        <v>7855</v>
      </c>
      <c r="M12" s="45">
        <v>2765</v>
      </c>
      <c r="N12" s="47">
        <v>12846</v>
      </c>
      <c r="O12" s="47">
        <v>2724</v>
      </c>
      <c r="P12" s="46">
        <v>8517</v>
      </c>
      <c r="Q12" s="45">
        <v>10940</v>
      </c>
      <c r="R12" s="47">
        <v>9369</v>
      </c>
      <c r="S12" s="46">
        <v>6851</v>
      </c>
      <c r="T12" s="45">
        <v>7012</v>
      </c>
      <c r="U12" s="47">
        <v>10099</v>
      </c>
      <c r="V12" s="47">
        <v>3919</v>
      </c>
      <c r="W12" s="46">
        <v>2709</v>
      </c>
      <c r="X12" s="45">
        <v>18568</v>
      </c>
      <c r="Y12" s="46">
        <v>7508</v>
      </c>
      <c r="Z12" s="45">
        <v>11570</v>
      </c>
      <c r="AA12" s="48">
        <v>13901</v>
      </c>
    </row>
    <row r="13" spans="1:27" s="93" customFormat="1" ht="21" customHeight="1" x14ac:dyDescent="0.35">
      <c r="A13" s="65"/>
      <c r="B13" s="224" t="s">
        <v>375</v>
      </c>
      <c r="C13" s="63">
        <v>2765</v>
      </c>
      <c r="D13" s="64">
        <v>1586</v>
      </c>
      <c r="E13" s="65">
        <v>1162</v>
      </c>
      <c r="F13" s="66">
        <v>541</v>
      </c>
      <c r="G13" s="67">
        <v>773</v>
      </c>
      <c r="H13" s="68">
        <v>691</v>
      </c>
      <c r="I13" s="65">
        <v>761</v>
      </c>
      <c r="J13" s="66">
        <v>601</v>
      </c>
      <c r="K13" s="68">
        <v>954</v>
      </c>
      <c r="L13" s="65">
        <v>925</v>
      </c>
      <c r="M13" s="66">
        <v>2765</v>
      </c>
      <c r="N13" s="67">
        <v>0</v>
      </c>
      <c r="O13" s="68">
        <v>0</v>
      </c>
      <c r="P13" s="65">
        <v>0</v>
      </c>
      <c r="Q13" s="66">
        <v>1151</v>
      </c>
      <c r="R13" s="68">
        <v>956</v>
      </c>
      <c r="S13" s="65">
        <v>639</v>
      </c>
      <c r="T13" s="66">
        <v>677</v>
      </c>
      <c r="U13" s="67">
        <v>822</v>
      </c>
      <c r="V13" s="68">
        <v>426</v>
      </c>
      <c r="W13" s="65">
        <v>290</v>
      </c>
      <c r="X13" s="64">
        <v>1922</v>
      </c>
      <c r="Y13" s="65">
        <v>768</v>
      </c>
      <c r="Z13" s="66">
        <v>1310</v>
      </c>
      <c r="AA13" s="69">
        <v>1325</v>
      </c>
    </row>
    <row r="14" spans="1:27" s="87" customFormat="1" ht="24" customHeight="1" x14ac:dyDescent="0.35">
      <c r="A14" s="1"/>
      <c r="B14" s="225"/>
      <c r="C14" s="49">
        <v>0.1</v>
      </c>
      <c r="D14" s="50">
        <v>0.12</v>
      </c>
      <c r="E14" s="51">
        <v>0.08</v>
      </c>
      <c r="F14" s="50">
        <v>0.15</v>
      </c>
      <c r="G14" s="51">
        <v>0.12</v>
      </c>
      <c r="H14" s="51">
        <v>0.1</v>
      </c>
      <c r="I14" s="51">
        <v>7.0000000000000007E-2</v>
      </c>
      <c r="J14" s="50">
        <v>0.1</v>
      </c>
      <c r="K14" s="51">
        <v>0.09</v>
      </c>
      <c r="L14" s="51">
        <v>0.12</v>
      </c>
      <c r="M14" s="50">
        <v>1</v>
      </c>
      <c r="N14" s="51">
        <v>0</v>
      </c>
      <c r="O14" s="51">
        <v>0</v>
      </c>
      <c r="P14" s="51">
        <v>0</v>
      </c>
      <c r="Q14" s="50">
        <v>0.11</v>
      </c>
      <c r="R14" s="51">
        <v>0.1</v>
      </c>
      <c r="S14" s="51">
        <v>0.09</v>
      </c>
      <c r="T14" s="50">
        <v>0.1</v>
      </c>
      <c r="U14" s="51">
        <v>0.08</v>
      </c>
      <c r="V14" s="51">
        <v>0.11</v>
      </c>
      <c r="W14" s="51">
        <v>0.11</v>
      </c>
      <c r="X14" s="50">
        <v>0.1</v>
      </c>
      <c r="Y14" s="51">
        <v>0.1</v>
      </c>
      <c r="Z14" s="50">
        <v>0.11</v>
      </c>
      <c r="AA14" s="52">
        <v>0.1</v>
      </c>
    </row>
    <row r="15" spans="1:27" s="93" customFormat="1" ht="21" customHeight="1" x14ac:dyDescent="0.35">
      <c r="A15" s="65"/>
      <c r="B15" s="228" t="s">
        <v>40</v>
      </c>
      <c r="C15" s="63">
        <v>12846</v>
      </c>
      <c r="D15" s="70">
        <v>6207</v>
      </c>
      <c r="E15" s="65">
        <v>6592</v>
      </c>
      <c r="F15" s="71">
        <v>1388</v>
      </c>
      <c r="G15" s="72">
        <v>3898</v>
      </c>
      <c r="H15" s="73">
        <v>4276</v>
      </c>
      <c r="I15" s="65">
        <v>3284</v>
      </c>
      <c r="J15" s="71">
        <v>2292</v>
      </c>
      <c r="K15" s="73">
        <v>4733</v>
      </c>
      <c r="L15" s="65">
        <v>4737</v>
      </c>
      <c r="M15" s="71">
        <v>0</v>
      </c>
      <c r="N15" s="72">
        <v>12846</v>
      </c>
      <c r="O15" s="73">
        <v>0</v>
      </c>
      <c r="P15" s="65">
        <v>0</v>
      </c>
      <c r="Q15" s="71">
        <v>5536</v>
      </c>
      <c r="R15" s="73">
        <v>4289</v>
      </c>
      <c r="S15" s="65">
        <v>2999</v>
      </c>
      <c r="T15" s="71">
        <v>2990</v>
      </c>
      <c r="U15" s="72">
        <v>4984</v>
      </c>
      <c r="V15" s="73">
        <v>2084</v>
      </c>
      <c r="W15" s="65">
        <v>1412</v>
      </c>
      <c r="X15" s="70">
        <v>8787</v>
      </c>
      <c r="Y15" s="65">
        <v>3586</v>
      </c>
      <c r="Z15" s="71">
        <v>5565</v>
      </c>
      <c r="AA15" s="74">
        <v>6592</v>
      </c>
    </row>
    <row r="16" spans="1:27" s="87" customFormat="1" ht="24" customHeight="1" x14ac:dyDescent="0.35">
      <c r="A16" s="1"/>
      <c r="B16" s="225"/>
      <c r="C16" s="49">
        <v>0.47</v>
      </c>
      <c r="D16" s="50">
        <v>0.47</v>
      </c>
      <c r="E16" s="51">
        <v>0.47000000000000003</v>
      </c>
      <c r="F16" s="50">
        <v>0.4</v>
      </c>
      <c r="G16" s="51">
        <v>0.62</v>
      </c>
      <c r="H16" s="51">
        <v>0.63</v>
      </c>
      <c r="I16" s="51">
        <v>0.31</v>
      </c>
      <c r="J16" s="50">
        <v>0.38</v>
      </c>
      <c r="K16" s="51">
        <v>0.44000000000000006</v>
      </c>
      <c r="L16" s="51">
        <v>0.6</v>
      </c>
      <c r="M16" s="50">
        <v>0</v>
      </c>
      <c r="N16" s="51">
        <v>1</v>
      </c>
      <c r="O16" s="51">
        <v>0</v>
      </c>
      <c r="P16" s="51">
        <v>0</v>
      </c>
      <c r="Q16" s="50">
        <v>0.5</v>
      </c>
      <c r="R16" s="51">
        <v>0.46000000000000008</v>
      </c>
      <c r="S16" s="51">
        <v>0.44000000000000006</v>
      </c>
      <c r="T16" s="50">
        <v>0.42000000000000004</v>
      </c>
      <c r="U16" s="51">
        <v>0.48999999999999994</v>
      </c>
      <c r="V16" s="51">
        <v>0.53</v>
      </c>
      <c r="W16" s="51">
        <v>0.52</v>
      </c>
      <c r="X16" s="50">
        <v>0.48</v>
      </c>
      <c r="Y16" s="51">
        <v>0.48</v>
      </c>
      <c r="Z16" s="50">
        <v>0.48</v>
      </c>
      <c r="AA16" s="52">
        <v>0.47</v>
      </c>
    </row>
    <row r="17" spans="1:27" s="93" customFormat="1" ht="21" customHeight="1" x14ac:dyDescent="0.35">
      <c r="A17" s="65"/>
      <c r="B17" s="228" t="s">
        <v>376</v>
      </c>
      <c r="C17" s="63">
        <v>2724</v>
      </c>
      <c r="D17" s="70">
        <v>1646</v>
      </c>
      <c r="E17" s="65">
        <v>1062</v>
      </c>
      <c r="F17" s="71">
        <v>389</v>
      </c>
      <c r="G17" s="72">
        <v>753</v>
      </c>
      <c r="H17" s="73">
        <v>874</v>
      </c>
      <c r="I17" s="65">
        <v>708</v>
      </c>
      <c r="J17" s="71">
        <v>851</v>
      </c>
      <c r="K17" s="73">
        <v>1032</v>
      </c>
      <c r="L17" s="65">
        <v>465</v>
      </c>
      <c r="M17" s="71">
        <v>0</v>
      </c>
      <c r="N17" s="72">
        <v>0</v>
      </c>
      <c r="O17" s="73">
        <v>2724</v>
      </c>
      <c r="P17" s="65">
        <v>0</v>
      </c>
      <c r="Q17" s="71">
        <v>979</v>
      </c>
      <c r="R17" s="73">
        <v>989</v>
      </c>
      <c r="S17" s="65">
        <v>739</v>
      </c>
      <c r="T17" s="71">
        <v>675</v>
      </c>
      <c r="U17" s="72">
        <v>878</v>
      </c>
      <c r="V17" s="73">
        <v>402</v>
      </c>
      <c r="W17" s="65">
        <v>298</v>
      </c>
      <c r="X17" s="70">
        <v>1841</v>
      </c>
      <c r="Y17" s="65">
        <v>754</v>
      </c>
      <c r="Z17" s="71">
        <v>1281</v>
      </c>
      <c r="AA17" s="74">
        <v>1273</v>
      </c>
    </row>
    <row r="18" spans="1:27" s="87" customFormat="1" ht="24" customHeight="1" x14ac:dyDescent="0.35">
      <c r="A18" s="1"/>
      <c r="B18" s="225"/>
      <c r="C18" s="49">
        <v>0.10000000000000009</v>
      </c>
      <c r="D18" s="50">
        <v>0.13</v>
      </c>
      <c r="E18" s="51">
        <v>7.999999999999996E-2</v>
      </c>
      <c r="F18" s="50">
        <v>0.10999999999999999</v>
      </c>
      <c r="G18" s="51">
        <v>0.12</v>
      </c>
      <c r="H18" s="51">
        <v>0.12</v>
      </c>
      <c r="I18" s="51">
        <v>7.0000000000000007E-2</v>
      </c>
      <c r="J18" s="50">
        <v>0.15000000000000002</v>
      </c>
      <c r="K18" s="51">
        <v>8.9999999999999969E-2</v>
      </c>
      <c r="L18" s="51">
        <v>6.0000000000000053E-2</v>
      </c>
      <c r="M18" s="50">
        <v>0</v>
      </c>
      <c r="N18" s="51">
        <v>0</v>
      </c>
      <c r="O18" s="51">
        <v>1</v>
      </c>
      <c r="P18" s="51">
        <v>0</v>
      </c>
      <c r="Q18" s="50">
        <v>8.9999999999999969E-2</v>
      </c>
      <c r="R18" s="51">
        <v>0.10999999999999999</v>
      </c>
      <c r="S18" s="51">
        <v>0.10999999999999999</v>
      </c>
      <c r="T18" s="50">
        <v>9.9999999999999978E-2</v>
      </c>
      <c r="U18" s="51">
        <v>9.000000000000008E-2</v>
      </c>
      <c r="V18" s="51">
        <v>9.9999999999999978E-2</v>
      </c>
      <c r="W18" s="51">
        <v>0.10999999999999999</v>
      </c>
      <c r="X18" s="50">
        <v>0.10000000000000009</v>
      </c>
      <c r="Y18" s="51">
        <v>0.10000000000000009</v>
      </c>
      <c r="Z18" s="50">
        <v>0.10999999999999999</v>
      </c>
      <c r="AA18" s="52">
        <v>9.000000000000008E-2</v>
      </c>
    </row>
    <row r="19" spans="1:27" s="93" customFormat="1" ht="21" customHeight="1" x14ac:dyDescent="0.35">
      <c r="A19" s="65"/>
      <c r="B19" s="228" t="s">
        <v>377</v>
      </c>
      <c r="C19" s="63">
        <v>8517</v>
      </c>
      <c r="D19" s="70">
        <v>3510</v>
      </c>
      <c r="E19" s="65">
        <v>4975</v>
      </c>
      <c r="F19" s="71">
        <v>1094</v>
      </c>
      <c r="G19" s="72">
        <v>754</v>
      </c>
      <c r="H19" s="73">
        <v>936</v>
      </c>
      <c r="I19" s="65">
        <v>5733</v>
      </c>
      <c r="J19" s="71">
        <v>2163</v>
      </c>
      <c r="K19" s="73">
        <v>3969</v>
      </c>
      <c r="L19" s="65">
        <v>1660</v>
      </c>
      <c r="M19" s="71">
        <v>0</v>
      </c>
      <c r="N19" s="72">
        <v>0</v>
      </c>
      <c r="O19" s="73">
        <v>0</v>
      </c>
      <c r="P19" s="65">
        <v>8517</v>
      </c>
      <c r="Q19" s="71">
        <v>3129</v>
      </c>
      <c r="R19" s="73">
        <v>2997</v>
      </c>
      <c r="S19" s="65">
        <v>2358</v>
      </c>
      <c r="T19" s="71">
        <v>2587</v>
      </c>
      <c r="U19" s="72">
        <v>3310</v>
      </c>
      <c r="V19" s="73">
        <v>968</v>
      </c>
      <c r="W19" s="65">
        <v>674</v>
      </c>
      <c r="X19" s="70">
        <v>5760</v>
      </c>
      <c r="Y19" s="65">
        <v>2296</v>
      </c>
      <c r="Z19" s="71">
        <v>3273</v>
      </c>
      <c r="AA19" s="74">
        <v>4520</v>
      </c>
    </row>
    <row r="20" spans="1:27" s="87" customFormat="1" ht="24" customHeight="1" x14ac:dyDescent="0.35">
      <c r="A20" s="1"/>
      <c r="B20" s="225"/>
      <c r="C20" s="49">
        <v>0.30999999999999994</v>
      </c>
      <c r="D20" s="50">
        <v>0.27</v>
      </c>
      <c r="E20" s="51">
        <v>0.35</v>
      </c>
      <c r="F20" s="50">
        <v>0.30999999999999994</v>
      </c>
      <c r="G20" s="51">
        <v>0.13</v>
      </c>
      <c r="H20" s="51">
        <v>0.14000000000000001</v>
      </c>
      <c r="I20" s="51">
        <v>0.54</v>
      </c>
      <c r="J20" s="50">
        <v>0.36</v>
      </c>
      <c r="K20" s="51">
        <v>0.37</v>
      </c>
      <c r="L20" s="51">
        <v>0.20999999999999996</v>
      </c>
      <c r="M20" s="50">
        <v>0</v>
      </c>
      <c r="N20" s="51">
        <v>0</v>
      </c>
      <c r="O20" s="51">
        <v>0</v>
      </c>
      <c r="P20" s="51">
        <v>1</v>
      </c>
      <c r="Q20" s="50">
        <v>0.29000000000000004</v>
      </c>
      <c r="R20" s="51">
        <v>0.31999999999999995</v>
      </c>
      <c r="S20" s="51">
        <v>0.33999999999999997</v>
      </c>
      <c r="T20" s="50">
        <v>0.37</v>
      </c>
      <c r="U20" s="51">
        <v>0.32999999999999996</v>
      </c>
      <c r="V20" s="51">
        <v>0.25</v>
      </c>
      <c r="W20" s="51">
        <v>0.25</v>
      </c>
      <c r="X20" s="50">
        <v>0.30999999999999994</v>
      </c>
      <c r="Y20" s="51">
        <v>0.30999999999999994</v>
      </c>
      <c r="Z20" s="50">
        <v>0.29000000000000004</v>
      </c>
      <c r="AA20" s="52">
        <v>0.32999999999999996</v>
      </c>
    </row>
    <row r="21" spans="1:27" s="93" customFormat="1" ht="21" customHeight="1" x14ac:dyDescent="0.35">
      <c r="A21" s="65"/>
      <c r="B21" s="232" t="s">
        <v>93</v>
      </c>
      <c r="C21" s="63">
        <v>440</v>
      </c>
      <c r="D21" s="70">
        <v>168</v>
      </c>
      <c r="E21" s="65">
        <v>263</v>
      </c>
      <c r="F21" s="71">
        <v>123</v>
      </c>
      <c r="G21" s="72">
        <v>93</v>
      </c>
      <c r="H21" s="73">
        <v>66</v>
      </c>
      <c r="I21" s="65">
        <v>158</v>
      </c>
      <c r="J21" s="71">
        <v>80</v>
      </c>
      <c r="K21" s="73">
        <v>109</v>
      </c>
      <c r="L21" s="65">
        <v>68</v>
      </c>
      <c r="M21" s="71">
        <v>0</v>
      </c>
      <c r="N21" s="72">
        <v>0</v>
      </c>
      <c r="O21" s="73">
        <v>0</v>
      </c>
      <c r="P21" s="65">
        <v>0</v>
      </c>
      <c r="Q21" s="71">
        <v>144</v>
      </c>
      <c r="R21" s="73">
        <v>137</v>
      </c>
      <c r="S21" s="65">
        <v>117</v>
      </c>
      <c r="T21" s="71">
        <v>83</v>
      </c>
      <c r="U21" s="72">
        <v>105</v>
      </c>
      <c r="V21" s="73">
        <v>39</v>
      </c>
      <c r="W21" s="65">
        <v>35</v>
      </c>
      <c r="X21" s="70">
        <v>257</v>
      </c>
      <c r="Y21" s="65">
        <v>105</v>
      </c>
      <c r="Z21" s="71">
        <v>141</v>
      </c>
      <c r="AA21" s="74">
        <v>191</v>
      </c>
    </row>
    <row r="22" spans="1:27" s="87" customFormat="1" ht="24" customHeight="1" thickBot="1" x14ac:dyDescent="0.4">
      <c r="A22" s="1"/>
      <c r="B22" s="233"/>
      <c r="C22" s="59">
        <v>2.0000000000000018E-2</v>
      </c>
      <c r="D22" s="60">
        <v>1.0000000000000009E-2</v>
      </c>
      <c r="E22" s="61">
        <v>2.0000000000000018E-2</v>
      </c>
      <c r="F22" s="60">
        <v>3.0000000000000027E-2</v>
      </c>
      <c r="G22" s="61">
        <v>1.0000000000000009E-2</v>
      </c>
      <c r="H22" s="61">
        <v>1.0000000000000009E-2</v>
      </c>
      <c r="I22" s="61">
        <v>1.0000000000000009E-2</v>
      </c>
      <c r="J22" s="60">
        <v>1.0000000000000009E-2</v>
      </c>
      <c r="K22" s="61">
        <v>1.0000000000000009E-2</v>
      </c>
      <c r="L22" s="61">
        <v>1.0000000000000009E-2</v>
      </c>
      <c r="M22" s="60">
        <v>0</v>
      </c>
      <c r="N22" s="61">
        <v>0</v>
      </c>
      <c r="O22" s="61">
        <v>0</v>
      </c>
      <c r="P22" s="61">
        <v>0</v>
      </c>
      <c r="Q22" s="60">
        <v>1.0000000000000009E-2</v>
      </c>
      <c r="R22" s="61">
        <v>1.0000000000000009E-2</v>
      </c>
      <c r="S22" s="61">
        <v>2.0000000000000018E-2</v>
      </c>
      <c r="T22" s="60">
        <v>1.0000000000000009E-2</v>
      </c>
      <c r="U22" s="61">
        <v>1.0000000000000009E-2</v>
      </c>
      <c r="V22" s="61">
        <v>1.0000000000000009E-2</v>
      </c>
      <c r="W22" s="61">
        <v>1.0000000000000009E-2</v>
      </c>
      <c r="X22" s="60">
        <v>1.0000000000000009E-2</v>
      </c>
      <c r="Y22" s="61">
        <v>1.0000000000000009E-2</v>
      </c>
      <c r="Z22" s="60">
        <v>1.0000000000000009E-2</v>
      </c>
      <c r="AA22" s="62">
        <v>1.0000000000000009E-2</v>
      </c>
    </row>
    <row r="23" spans="1:27" s="93" customFormat="1" ht="21" customHeight="1" x14ac:dyDescent="0.35">
      <c r="A23" s="65"/>
      <c r="B23" s="3"/>
      <c r="C23" s="63"/>
      <c r="D23" s="65"/>
      <c r="E23" s="65"/>
      <c r="F23" s="65"/>
      <c r="G23" s="65"/>
      <c r="H23" s="65"/>
      <c r="I23" s="65"/>
      <c r="J23" s="65"/>
      <c r="K23" s="65"/>
      <c r="L23" s="65"/>
      <c r="M23" s="65"/>
      <c r="N23" s="65"/>
      <c r="O23" s="65"/>
      <c r="P23" s="65"/>
      <c r="Q23" s="65"/>
      <c r="R23" s="65"/>
      <c r="S23" s="65"/>
      <c r="T23" s="65"/>
      <c r="U23" s="65"/>
      <c r="V23" s="65"/>
      <c r="W23" s="65"/>
      <c r="X23" s="65"/>
      <c r="Y23" s="65"/>
      <c r="Z23" s="65"/>
      <c r="AA23" s="65"/>
    </row>
    <row r="24" spans="1:27" s="87" customFormat="1" ht="24" customHeight="1" x14ac:dyDescent="0.35">
      <c r="A24" s="1"/>
      <c r="B24" s="3"/>
      <c r="C24" s="2"/>
      <c r="D24" s="1"/>
      <c r="E24" s="1"/>
      <c r="F24" s="1"/>
      <c r="G24" s="1"/>
      <c r="H24" s="1"/>
      <c r="I24" s="1"/>
      <c r="J24" s="1"/>
      <c r="K24" s="1"/>
      <c r="L24" s="1"/>
      <c r="M24" s="1"/>
      <c r="N24" s="1"/>
      <c r="O24" s="1"/>
      <c r="P24" s="1"/>
      <c r="Q24" s="1"/>
      <c r="R24" s="1"/>
      <c r="S24" s="1"/>
      <c r="T24" s="1"/>
      <c r="U24" s="1"/>
      <c r="V24" s="1"/>
      <c r="W24" s="1"/>
      <c r="X24" s="1"/>
      <c r="Y24" s="1"/>
      <c r="Z24" s="1"/>
      <c r="AA24" s="1"/>
    </row>
    <row r="25" spans="1:27" s="93" customFormat="1" ht="21" customHeight="1" x14ac:dyDescent="0.35">
      <c r="A25" s="65"/>
      <c r="B25" s="3"/>
      <c r="C25" s="63"/>
      <c r="D25" s="65"/>
      <c r="E25" s="65"/>
      <c r="F25" s="65"/>
      <c r="G25" s="65"/>
      <c r="H25" s="65"/>
      <c r="I25" s="65"/>
      <c r="J25" s="65"/>
      <c r="K25" s="65"/>
      <c r="L25" s="65"/>
      <c r="M25" s="65"/>
      <c r="N25" s="65"/>
      <c r="O25" s="65"/>
      <c r="P25" s="65"/>
      <c r="Q25" s="65"/>
      <c r="R25" s="65"/>
      <c r="S25" s="65"/>
      <c r="T25" s="65"/>
      <c r="U25" s="65"/>
      <c r="V25" s="65"/>
      <c r="W25" s="65"/>
      <c r="X25" s="65"/>
      <c r="Y25" s="65"/>
      <c r="Z25" s="65"/>
      <c r="AA25" s="65"/>
    </row>
    <row r="26" spans="1:27" s="87" customFormat="1" ht="24" customHeight="1" x14ac:dyDescent="0.35">
      <c r="A26" s="1"/>
      <c r="B26" s="3"/>
      <c r="C26" s="2"/>
      <c r="D26" s="1"/>
      <c r="E26" s="1"/>
      <c r="F26" s="1"/>
      <c r="G26" s="1"/>
      <c r="H26" s="1"/>
      <c r="I26" s="1"/>
      <c r="J26" s="1"/>
      <c r="K26" s="1"/>
      <c r="L26" s="1"/>
      <c r="M26" s="1"/>
      <c r="N26" s="1"/>
      <c r="O26" s="1"/>
      <c r="P26" s="1"/>
      <c r="Q26" s="1"/>
      <c r="R26" s="1"/>
      <c r="S26" s="1"/>
      <c r="T26" s="1"/>
      <c r="U26" s="1"/>
      <c r="V26" s="1"/>
      <c r="W26" s="1"/>
      <c r="X26" s="1"/>
      <c r="Y26" s="1"/>
      <c r="Z26" s="1"/>
      <c r="AA26" s="1"/>
    </row>
    <row r="27" spans="1:27" x14ac:dyDescent="0.4"/>
    <row r="28" spans="1:27" ht="24" customHeight="1" x14ac:dyDescent="0.4"/>
    <row r="29" spans="1:27" x14ac:dyDescent="0.4">
      <c r="B29" s="1"/>
    </row>
  </sheetData>
  <mergeCells count="13">
    <mergeCell ref="B15:B16"/>
    <mergeCell ref="B17:B18"/>
    <mergeCell ref="B19:B20"/>
    <mergeCell ref="B21:B22"/>
    <mergeCell ref="T9:W9"/>
    <mergeCell ref="X9:Y9"/>
    <mergeCell ref="Z9:AA9"/>
    <mergeCell ref="B13:B14"/>
    <mergeCell ref="D9:E9"/>
    <mergeCell ref="F9:I9"/>
    <mergeCell ref="J9:L9"/>
    <mergeCell ref="M9:P9"/>
    <mergeCell ref="Q9:S9"/>
  </mergeCells>
  <hyperlinks>
    <hyperlink ref="B1" location="'Table of Contents'!A1" display="Home" xr:uid="{86032939-9047-6646-9AD4-3B776AD29168}"/>
  </hyperlinks>
  <pageMargins left="0.7" right="0.7" top="0.75" bottom="0.75" header="0.511811023622047" footer="0.511811023622047"/>
  <pageSetup paperSize="9" orientation="portrait" useFirstPageNumber="1"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Feuil23"/>
  <dimension ref="A1:AA29"/>
  <sheetViews>
    <sheetView showGridLines="0" zoomScale="60" zoomScaleNormal="60" workbookViewId="0"/>
  </sheetViews>
  <sheetFormatPr defaultColWidth="20.6328125" defaultRowHeight="19" customHeight="1" x14ac:dyDescent="0.4"/>
  <cols>
    <col min="1" max="1" width="8.81640625" style="101" customWidth="1"/>
    <col min="2" max="2" width="100.6328125" style="3" customWidth="1"/>
    <col min="3" max="3" width="20.6328125" style="2"/>
    <col min="4" max="23" width="20.6328125" style="1"/>
    <col min="24" max="27" width="20.6328125" style="101"/>
    <col min="28" max="16384" width="20.6328125" style="102"/>
  </cols>
  <sheetData>
    <row r="1" spans="1:27" x14ac:dyDescent="0.4">
      <c r="B1" s="37" t="s">
        <v>0</v>
      </c>
    </row>
    <row r="2" spans="1:27" x14ac:dyDescent="0.4">
      <c r="B2" s="3" t="s">
        <v>442</v>
      </c>
    </row>
    <row r="3" spans="1:27" x14ac:dyDescent="0.4">
      <c r="B3" s="3" t="s">
        <v>1</v>
      </c>
      <c r="D3" s="2"/>
      <c r="E3" s="2"/>
      <c r="F3" s="2"/>
      <c r="G3" s="2"/>
      <c r="H3" s="2"/>
      <c r="I3" s="2"/>
      <c r="J3" s="2"/>
      <c r="K3" s="2"/>
      <c r="L3" s="2"/>
      <c r="M3" s="2"/>
      <c r="N3" s="2"/>
      <c r="O3" s="2"/>
      <c r="P3" s="2"/>
      <c r="Q3" s="2"/>
      <c r="R3" s="2"/>
      <c r="S3" s="2"/>
      <c r="T3" s="2"/>
      <c r="U3" s="2"/>
      <c r="V3" s="2"/>
      <c r="W3" s="2"/>
    </row>
    <row r="4" spans="1:27" x14ac:dyDescent="0.4">
      <c r="B4" s="3" t="s">
        <v>2</v>
      </c>
    </row>
    <row r="6" spans="1:27" s="217" customFormat="1" ht="19" customHeight="1" x14ac:dyDescent="0.5">
      <c r="A6" s="216"/>
      <c r="B6" s="28" t="s">
        <v>378</v>
      </c>
      <c r="C6" s="2"/>
      <c r="D6" s="2"/>
      <c r="E6" s="2"/>
      <c r="F6" s="2"/>
      <c r="G6" s="2"/>
      <c r="H6" s="2"/>
      <c r="I6" s="2"/>
      <c r="J6" s="2"/>
      <c r="K6" s="2"/>
      <c r="L6" s="2"/>
      <c r="M6" s="2"/>
      <c r="N6" s="2"/>
      <c r="O6" s="2"/>
      <c r="P6" s="2"/>
      <c r="Q6" s="2"/>
      <c r="R6" s="2"/>
      <c r="S6" s="2"/>
      <c r="T6" s="2"/>
      <c r="U6" s="2"/>
      <c r="V6" s="2"/>
      <c r="W6" s="2"/>
      <c r="X6" s="216"/>
      <c r="Y6" s="216"/>
      <c r="Z6" s="216"/>
      <c r="AA6" s="216"/>
    </row>
    <row r="7" spans="1:27" ht="19.5" customHeight="1" x14ac:dyDescent="0.4">
      <c r="B7" s="215" t="s">
        <v>379</v>
      </c>
    </row>
    <row r="8" spans="1:27" ht="19" customHeight="1" thickBot="1" x14ac:dyDescent="0.45"/>
    <row r="9" spans="1:27" ht="19.5" customHeight="1" x14ac:dyDescent="0.4">
      <c r="B9" s="5"/>
      <c r="C9" s="6" t="s">
        <v>21</v>
      </c>
      <c r="D9" s="221" t="s">
        <v>22</v>
      </c>
      <c r="E9" s="222"/>
      <c r="F9" s="221" t="s">
        <v>23</v>
      </c>
      <c r="G9" s="222"/>
      <c r="H9" s="222"/>
      <c r="I9" s="222"/>
      <c r="J9" s="221" t="s">
        <v>24</v>
      </c>
      <c r="K9" s="222"/>
      <c r="L9" s="222"/>
      <c r="M9" s="221" t="s">
        <v>25</v>
      </c>
      <c r="N9" s="222"/>
      <c r="O9" s="222"/>
      <c r="P9" s="222"/>
      <c r="Q9" s="221" t="s">
        <v>26</v>
      </c>
      <c r="R9" s="222"/>
      <c r="S9" s="222"/>
      <c r="T9" s="221" t="s">
        <v>27</v>
      </c>
      <c r="U9" s="222"/>
      <c r="V9" s="222"/>
      <c r="W9" s="222"/>
      <c r="X9" s="221" t="s">
        <v>28</v>
      </c>
      <c r="Y9" s="222"/>
      <c r="Z9" s="221" t="s">
        <v>29</v>
      </c>
      <c r="AA9" s="223"/>
    </row>
    <row r="10" spans="1:27" s="89" customFormat="1" ht="57" customHeight="1" thickBot="1" x14ac:dyDescent="0.45">
      <c r="A10" s="2"/>
      <c r="B10" s="91"/>
      <c r="C10" s="7" t="e" vm="1">
        <v>#VALUE!</v>
      </c>
      <c r="D10" s="8" t="s">
        <v>30</v>
      </c>
      <c r="E10" s="9" t="s">
        <v>31</v>
      </c>
      <c r="F10" s="10" t="s">
        <v>32</v>
      </c>
      <c r="G10" s="11" t="s">
        <v>33</v>
      </c>
      <c r="H10" s="12" t="s">
        <v>34</v>
      </c>
      <c r="I10" s="9" t="s">
        <v>35</v>
      </c>
      <c r="J10" s="10" t="s">
        <v>36</v>
      </c>
      <c r="K10" s="12" t="s">
        <v>37</v>
      </c>
      <c r="L10" s="9" t="s">
        <v>38</v>
      </c>
      <c r="M10" s="10" t="s">
        <v>39</v>
      </c>
      <c r="N10" s="11" t="s">
        <v>40</v>
      </c>
      <c r="O10" s="12" t="s">
        <v>41</v>
      </c>
      <c r="P10" s="9" t="s">
        <v>42</v>
      </c>
      <c r="Q10" s="10" t="s">
        <v>43</v>
      </c>
      <c r="R10" s="12" t="s">
        <v>44</v>
      </c>
      <c r="S10" s="9" t="s">
        <v>45</v>
      </c>
      <c r="T10" s="34">
        <v>1</v>
      </c>
      <c r="U10" s="35">
        <v>2</v>
      </c>
      <c r="V10" s="36">
        <v>3</v>
      </c>
      <c r="W10" s="9" t="s">
        <v>46</v>
      </c>
      <c r="X10" s="13" t="s">
        <v>409</v>
      </c>
      <c r="Y10" s="9" t="s">
        <v>410</v>
      </c>
      <c r="Z10" s="10" t="s">
        <v>409</v>
      </c>
      <c r="AA10" s="31" t="s">
        <v>410</v>
      </c>
    </row>
    <row r="11" spans="1:27" s="94" customFormat="1" ht="18.75" customHeight="1" x14ac:dyDescent="0.35">
      <c r="A11" s="26"/>
      <c r="B11" s="14" t="s">
        <v>49</v>
      </c>
      <c r="C11" s="26">
        <v>2997</v>
      </c>
      <c r="D11" s="39">
        <v>1694</v>
      </c>
      <c r="E11" s="26">
        <v>1287</v>
      </c>
      <c r="F11" s="40">
        <v>514</v>
      </c>
      <c r="G11" s="41">
        <v>958</v>
      </c>
      <c r="H11" s="42">
        <v>864</v>
      </c>
      <c r="I11" s="26">
        <v>661</v>
      </c>
      <c r="J11" s="40">
        <v>312</v>
      </c>
      <c r="K11" s="42">
        <v>889</v>
      </c>
      <c r="L11" s="26">
        <v>1512</v>
      </c>
      <c r="M11" s="40">
        <v>2997</v>
      </c>
      <c r="N11" s="41">
        <v>0</v>
      </c>
      <c r="O11" s="42">
        <v>0</v>
      </c>
      <c r="P11" s="26">
        <v>0</v>
      </c>
      <c r="Q11" s="40">
        <v>1199</v>
      </c>
      <c r="R11" s="42">
        <v>1047</v>
      </c>
      <c r="S11" s="26">
        <v>733</v>
      </c>
      <c r="T11" s="40">
        <v>634</v>
      </c>
      <c r="U11" s="41">
        <v>963</v>
      </c>
      <c r="V11" s="42">
        <v>530</v>
      </c>
      <c r="W11" s="26">
        <v>415</v>
      </c>
      <c r="X11" s="39">
        <v>2051</v>
      </c>
      <c r="Y11" s="26">
        <v>857</v>
      </c>
      <c r="Z11" s="40">
        <v>1424</v>
      </c>
      <c r="AA11" s="43">
        <v>1452</v>
      </c>
    </row>
    <row r="12" spans="1:27" s="94" customFormat="1" ht="18.75" customHeight="1" thickBot="1" x14ac:dyDescent="0.4">
      <c r="A12" s="26"/>
      <c r="B12" s="15" t="s">
        <v>50</v>
      </c>
      <c r="C12" s="44">
        <v>2765</v>
      </c>
      <c r="D12" s="45">
        <v>1586</v>
      </c>
      <c r="E12" s="46">
        <v>1162</v>
      </c>
      <c r="F12" s="45">
        <v>541</v>
      </c>
      <c r="G12" s="47">
        <v>773</v>
      </c>
      <c r="H12" s="47">
        <v>691</v>
      </c>
      <c r="I12" s="46">
        <v>761</v>
      </c>
      <c r="J12" s="45">
        <v>601</v>
      </c>
      <c r="K12" s="47">
        <v>954</v>
      </c>
      <c r="L12" s="46">
        <v>925</v>
      </c>
      <c r="M12" s="45">
        <v>2765</v>
      </c>
      <c r="N12" s="47">
        <v>0</v>
      </c>
      <c r="O12" s="47">
        <v>0</v>
      </c>
      <c r="P12" s="46">
        <v>0</v>
      </c>
      <c r="Q12" s="45">
        <v>1151</v>
      </c>
      <c r="R12" s="47">
        <v>956</v>
      </c>
      <c r="S12" s="46">
        <v>639</v>
      </c>
      <c r="T12" s="45">
        <v>677</v>
      </c>
      <c r="U12" s="47">
        <v>822</v>
      </c>
      <c r="V12" s="47">
        <v>426</v>
      </c>
      <c r="W12" s="46">
        <v>290</v>
      </c>
      <c r="X12" s="45">
        <v>1922</v>
      </c>
      <c r="Y12" s="46">
        <v>768</v>
      </c>
      <c r="Z12" s="45">
        <v>1310</v>
      </c>
      <c r="AA12" s="48">
        <v>1325</v>
      </c>
    </row>
    <row r="13" spans="1:27" s="93" customFormat="1" ht="21" customHeight="1" x14ac:dyDescent="0.35">
      <c r="A13" s="65"/>
      <c r="B13" s="224" t="s">
        <v>380</v>
      </c>
      <c r="C13" s="63">
        <v>193</v>
      </c>
      <c r="D13" s="64">
        <v>127</v>
      </c>
      <c r="E13" s="65">
        <v>63</v>
      </c>
      <c r="F13" s="66">
        <v>70</v>
      </c>
      <c r="G13" s="67">
        <v>53</v>
      </c>
      <c r="H13" s="68">
        <v>42</v>
      </c>
      <c r="I13" s="65">
        <v>27</v>
      </c>
      <c r="J13" s="66">
        <v>51</v>
      </c>
      <c r="K13" s="68">
        <v>71</v>
      </c>
      <c r="L13" s="65">
        <v>40</v>
      </c>
      <c r="M13" s="66">
        <v>193</v>
      </c>
      <c r="N13" s="67">
        <v>0</v>
      </c>
      <c r="O13" s="68">
        <v>0</v>
      </c>
      <c r="P13" s="65">
        <v>0</v>
      </c>
      <c r="Q13" s="66">
        <v>46</v>
      </c>
      <c r="R13" s="68">
        <v>54</v>
      </c>
      <c r="S13" s="65">
        <v>93</v>
      </c>
      <c r="T13" s="66">
        <v>35</v>
      </c>
      <c r="U13" s="67">
        <v>31</v>
      </c>
      <c r="V13" s="68">
        <v>22</v>
      </c>
      <c r="W13" s="65">
        <v>27</v>
      </c>
      <c r="X13" s="64">
        <v>153</v>
      </c>
      <c r="Y13" s="65">
        <v>36</v>
      </c>
      <c r="Z13" s="66">
        <v>114</v>
      </c>
      <c r="AA13" s="69">
        <v>73</v>
      </c>
    </row>
    <row r="14" spans="1:27" s="87" customFormat="1" ht="24" customHeight="1" x14ac:dyDescent="0.35">
      <c r="A14" s="1"/>
      <c r="B14" s="225"/>
      <c r="C14" s="49">
        <v>7.0000000000000007E-2</v>
      </c>
      <c r="D14" s="50">
        <v>0.08</v>
      </c>
      <c r="E14" s="51">
        <v>0.05</v>
      </c>
      <c r="F14" s="50">
        <v>0.13</v>
      </c>
      <c r="G14" s="51">
        <v>7.0000000000000007E-2</v>
      </c>
      <c r="H14" s="51">
        <v>0.06</v>
      </c>
      <c r="I14" s="51">
        <v>0.04</v>
      </c>
      <c r="J14" s="50">
        <v>0.08</v>
      </c>
      <c r="K14" s="51">
        <v>7.0000000000000007E-2</v>
      </c>
      <c r="L14" s="51">
        <v>0.04</v>
      </c>
      <c r="M14" s="50">
        <v>7.0000000000000007E-2</v>
      </c>
      <c r="N14" s="51">
        <v>0</v>
      </c>
      <c r="O14" s="51">
        <v>0</v>
      </c>
      <c r="P14" s="51">
        <v>0</v>
      </c>
      <c r="Q14" s="50">
        <v>0.04</v>
      </c>
      <c r="R14" s="51">
        <v>0.06</v>
      </c>
      <c r="S14" s="51">
        <v>0.15</v>
      </c>
      <c r="T14" s="50">
        <v>0.05</v>
      </c>
      <c r="U14" s="51">
        <v>0.04</v>
      </c>
      <c r="V14" s="51">
        <v>0.05</v>
      </c>
      <c r="W14" s="51">
        <v>0.09</v>
      </c>
      <c r="X14" s="50">
        <v>0.08</v>
      </c>
      <c r="Y14" s="51">
        <v>0.05</v>
      </c>
      <c r="Z14" s="50">
        <v>0.09</v>
      </c>
      <c r="AA14" s="52">
        <v>0.06</v>
      </c>
    </row>
    <row r="15" spans="1:27" s="93" customFormat="1" ht="21" customHeight="1" x14ac:dyDescent="0.35">
      <c r="A15" s="65"/>
      <c r="B15" s="228" t="s">
        <v>381</v>
      </c>
      <c r="C15" s="63">
        <v>632</v>
      </c>
      <c r="D15" s="70">
        <v>400</v>
      </c>
      <c r="E15" s="65">
        <v>228</v>
      </c>
      <c r="F15" s="71">
        <v>97</v>
      </c>
      <c r="G15" s="72">
        <v>173</v>
      </c>
      <c r="H15" s="73">
        <v>185</v>
      </c>
      <c r="I15" s="65">
        <v>178</v>
      </c>
      <c r="J15" s="71">
        <v>151</v>
      </c>
      <c r="K15" s="73">
        <v>252</v>
      </c>
      <c r="L15" s="65">
        <v>187</v>
      </c>
      <c r="M15" s="71">
        <v>632</v>
      </c>
      <c r="N15" s="72">
        <v>0</v>
      </c>
      <c r="O15" s="73">
        <v>0</v>
      </c>
      <c r="P15" s="65">
        <v>0</v>
      </c>
      <c r="Q15" s="71">
        <v>229</v>
      </c>
      <c r="R15" s="73">
        <v>269</v>
      </c>
      <c r="S15" s="65">
        <v>133</v>
      </c>
      <c r="T15" s="71">
        <v>147</v>
      </c>
      <c r="U15" s="72">
        <v>208</v>
      </c>
      <c r="V15" s="73">
        <v>101</v>
      </c>
      <c r="W15" s="65">
        <v>67</v>
      </c>
      <c r="X15" s="70">
        <v>439</v>
      </c>
      <c r="Y15" s="65">
        <v>177</v>
      </c>
      <c r="Z15" s="71">
        <v>301</v>
      </c>
      <c r="AA15" s="74">
        <v>308</v>
      </c>
    </row>
    <row r="16" spans="1:27" s="87" customFormat="1" ht="24" customHeight="1" x14ac:dyDescent="0.35">
      <c r="A16" s="1"/>
      <c r="B16" s="225"/>
      <c r="C16" s="49">
        <v>0.22999999999999998</v>
      </c>
      <c r="D16" s="50">
        <v>0.25</v>
      </c>
      <c r="E16" s="51">
        <v>0.2</v>
      </c>
      <c r="F16" s="50">
        <v>0.18</v>
      </c>
      <c r="G16" s="51">
        <v>0.21999999999999997</v>
      </c>
      <c r="H16" s="51">
        <v>0.27</v>
      </c>
      <c r="I16" s="51">
        <v>0.23</v>
      </c>
      <c r="J16" s="50">
        <v>0.26</v>
      </c>
      <c r="K16" s="51">
        <v>0.27</v>
      </c>
      <c r="L16" s="51">
        <v>0.21</v>
      </c>
      <c r="M16" s="50">
        <v>0.22999999999999998</v>
      </c>
      <c r="N16" s="51">
        <v>0</v>
      </c>
      <c r="O16" s="51">
        <v>0</v>
      </c>
      <c r="P16" s="51">
        <v>0</v>
      </c>
      <c r="Q16" s="50">
        <v>0.19999999999999998</v>
      </c>
      <c r="R16" s="51">
        <v>0.28000000000000003</v>
      </c>
      <c r="S16" s="51">
        <v>0.19999999999999998</v>
      </c>
      <c r="T16" s="50">
        <v>0.22000000000000003</v>
      </c>
      <c r="U16" s="51">
        <v>0.24999999999999997</v>
      </c>
      <c r="V16" s="51">
        <v>0.24</v>
      </c>
      <c r="W16" s="51">
        <v>0.23</v>
      </c>
      <c r="X16" s="50">
        <v>0.22999999999999998</v>
      </c>
      <c r="Y16" s="51">
        <v>0.23000000000000004</v>
      </c>
      <c r="Z16" s="50">
        <v>0.23</v>
      </c>
      <c r="AA16" s="52">
        <v>0.22999999999999998</v>
      </c>
    </row>
    <row r="17" spans="1:27" s="93" customFormat="1" ht="21" customHeight="1" x14ac:dyDescent="0.35">
      <c r="A17" s="65"/>
      <c r="B17" s="228" t="s">
        <v>382</v>
      </c>
      <c r="C17" s="63">
        <v>780</v>
      </c>
      <c r="D17" s="70">
        <v>415</v>
      </c>
      <c r="E17" s="65">
        <v>360</v>
      </c>
      <c r="F17" s="71">
        <v>137</v>
      </c>
      <c r="G17" s="72">
        <v>206</v>
      </c>
      <c r="H17" s="73">
        <v>187</v>
      </c>
      <c r="I17" s="65">
        <v>251</v>
      </c>
      <c r="J17" s="71">
        <v>146</v>
      </c>
      <c r="K17" s="73">
        <v>214</v>
      </c>
      <c r="L17" s="65">
        <v>377</v>
      </c>
      <c r="M17" s="71">
        <v>780</v>
      </c>
      <c r="N17" s="72">
        <v>0</v>
      </c>
      <c r="O17" s="73">
        <v>0</v>
      </c>
      <c r="P17" s="65">
        <v>0</v>
      </c>
      <c r="Q17" s="71">
        <v>370</v>
      </c>
      <c r="R17" s="73">
        <v>259</v>
      </c>
      <c r="S17" s="65">
        <v>144</v>
      </c>
      <c r="T17" s="71">
        <v>230</v>
      </c>
      <c r="U17" s="72">
        <v>256</v>
      </c>
      <c r="V17" s="73">
        <v>115</v>
      </c>
      <c r="W17" s="65">
        <v>59</v>
      </c>
      <c r="X17" s="70">
        <v>512</v>
      </c>
      <c r="Y17" s="65">
        <v>246</v>
      </c>
      <c r="Z17" s="71">
        <v>338</v>
      </c>
      <c r="AA17" s="74">
        <v>415</v>
      </c>
    </row>
    <row r="18" spans="1:27" s="87" customFormat="1" ht="24" customHeight="1" x14ac:dyDescent="0.35">
      <c r="A18" s="1"/>
      <c r="B18" s="225"/>
      <c r="C18" s="49">
        <v>0.27999999999999997</v>
      </c>
      <c r="D18" s="50">
        <v>0.25999999999999995</v>
      </c>
      <c r="E18" s="51">
        <v>0.31000000000000005</v>
      </c>
      <c r="F18" s="50">
        <v>0.25000000000000006</v>
      </c>
      <c r="G18" s="51">
        <v>0.27000000000000007</v>
      </c>
      <c r="H18" s="51">
        <v>0.26999999999999996</v>
      </c>
      <c r="I18" s="51">
        <v>0.32999999999999996</v>
      </c>
      <c r="J18" s="50">
        <v>0.23999999999999994</v>
      </c>
      <c r="K18" s="51">
        <v>0.22000000000000003</v>
      </c>
      <c r="L18" s="51">
        <v>0.4</v>
      </c>
      <c r="M18" s="50">
        <v>0.27999999999999997</v>
      </c>
      <c r="N18" s="51">
        <v>0</v>
      </c>
      <c r="O18" s="51">
        <v>0</v>
      </c>
      <c r="P18" s="51">
        <v>0</v>
      </c>
      <c r="Q18" s="50">
        <v>0.32000000000000006</v>
      </c>
      <c r="R18" s="51">
        <v>0.26999999999999996</v>
      </c>
      <c r="S18" s="51">
        <v>0.22999999999999998</v>
      </c>
      <c r="T18" s="50">
        <v>0.33999999999999997</v>
      </c>
      <c r="U18" s="51">
        <v>0.31</v>
      </c>
      <c r="V18" s="51">
        <v>0.27000000000000007</v>
      </c>
      <c r="W18" s="51">
        <v>0.2</v>
      </c>
      <c r="X18" s="50">
        <v>0.25999999999999995</v>
      </c>
      <c r="Y18" s="51">
        <v>0.31999999999999995</v>
      </c>
      <c r="Z18" s="50">
        <v>0.24999999999999994</v>
      </c>
      <c r="AA18" s="52">
        <v>0.31</v>
      </c>
    </row>
    <row r="19" spans="1:27" s="93" customFormat="1" ht="21" customHeight="1" x14ac:dyDescent="0.35">
      <c r="A19" s="65"/>
      <c r="B19" s="228" t="s">
        <v>383</v>
      </c>
      <c r="C19" s="63">
        <v>516</v>
      </c>
      <c r="D19" s="70">
        <v>355</v>
      </c>
      <c r="E19" s="65">
        <v>160</v>
      </c>
      <c r="F19" s="71">
        <v>109</v>
      </c>
      <c r="G19" s="72">
        <v>171</v>
      </c>
      <c r="H19" s="73">
        <v>117</v>
      </c>
      <c r="I19" s="65">
        <v>120</v>
      </c>
      <c r="J19" s="71">
        <v>124</v>
      </c>
      <c r="K19" s="73">
        <v>172</v>
      </c>
      <c r="L19" s="65">
        <v>170</v>
      </c>
      <c r="M19" s="71">
        <v>516</v>
      </c>
      <c r="N19" s="72">
        <v>0</v>
      </c>
      <c r="O19" s="73">
        <v>0</v>
      </c>
      <c r="P19" s="65">
        <v>0</v>
      </c>
      <c r="Q19" s="71">
        <v>277</v>
      </c>
      <c r="R19" s="73">
        <v>133</v>
      </c>
      <c r="S19" s="65">
        <v>104</v>
      </c>
      <c r="T19" s="71">
        <v>131</v>
      </c>
      <c r="U19" s="72">
        <v>164</v>
      </c>
      <c r="V19" s="73">
        <v>84</v>
      </c>
      <c r="W19" s="65">
        <v>43</v>
      </c>
      <c r="X19" s="70">
        <v>388</v>
      </c>
      <c r="Y19" s="65">
        <v>121</v>
      </c>
      <c r="Z19" s="71">
        <v>256</v>
      </c>
      <c r="AA19" s="74">
        <v>241</v>
      </c>
    </row>
    <row r="20" spans="1:27" s="87" customFormat="1" ht="24" customHeight="1" x14ac:dyDescent="0.35">
      <c r="A20" s="1"/>
      <c r="B20" s="225"/>
      <c r="C20" s="49">
        <v>0.19000000000000006</v>
      </c>
      <c r="D20" s="50">
        <v>0.22999999999999998</v>
      </c>
      <c r="E20" s="51">
        <v>0.1399999999999999</v>
      </c>
      <c r="F20" s="50">
        <v>0.19999999999999996</v>
      </c>
      <c r="G20" s="51">
        <v>0.21999999999999997</v>
      </c>
      <c r="H20" s="51">
        <v>0.17000000000000004</v>
      </c>
      <c r="I20" s="51">
        <v>0.16000000000000003</v>
      </c>
      <c r="J20" s="50">
        <v>0.21000000000000008</v>
      </c>
      <c r="K20" s="51">
        <v>0.17999999999999994</v>
      </c>
      <c r="L20" s="51">
        <v>0.18999999999999995</v>
      </c>
      <c r="M20" s="50">
        <v>0.19000000000000006</v>
      </c>
      <c r="N20" s="51">
        <v>0</v>
      </c>
      <c r="O20" s="51">
        <v>0</v>
      </c>
      <c r="P20" s="51">
        <v>0</v>
      </c>
      <c r="Q20" s="50">
        <v>0.24</v>
      </c>
      <c r="R20" s="51">
        <v>0.14000000000000001</v>
      </c>
      <c r="S20" s="51">
        <v>0.16000000000000003</v>
      </c>
      <c r="T20" s="50">
        <v>0.19000000000000006</v>
      </c>
      <c r="U20" s="51">
        <v>0.20000000000000007</v>
      </c>
      <c r="V20" s="51">
        <v>0.19999999999999996</v>
      </c>
      <c r="W20" s="51">
        <v>0.15000000000000002</v>
      </c>
      <c r="X20" s="50">
        <v>0.21000000000000008</v>
      </c>
      <c r="Y20" s="51">
        <v>0.15000000000000002</v>
      </c>
      <c r="Z20" s="50">
        <v>0.20000000000000007</v>
      </c>
      <c r="AA20" s="52">
        <v>0.18000000000000005</v>
      </c>
    </row>
    <row r="21" spans="1:27" s="93" customFormat="1" ht="21" customHeight="1" x14ac:dyDescent="0.35">
      <c r="A21" s="65"/>
      <c r="B21" s="228" t="s">
        <v>81</v>
      </c>
      <c r="C21" s="63">
        <v>617</v>
      </c>
      <c r="D21" s="70">
        <v>278</v>
      </c>
      <c r="E21" s="65">
        <v>336</v>
      </c>
      <c r="F21" s="71">
        <v>115</v>
      </c>
      <c r="G21" s="72">
        <v>165</v>
      </c>
      <c r="H21" s="73">
        <v>155</v>
      </c>
      <c r="I21" s="65">
        <v>182</v>
      </c>
      <c r="J21" s="71">
        <v>124</v>
      </c>
      <c r="K21" s="73">
        <v>236</v>
      </c>
      <c r="L21" s="65">
        <v>147</v>
      </c>
      <c r="M21" s="71">
        <v>617</v>
      </c>
      <c r="N21" s="72">
        <v>0</v>
      </c>
      <c r="O21" s="73">
        <v>0</v>
      </c>
      <c r="P21" s="65">
        <v>0</v>
      </c>
      <c r="Q21" s="71">
        <v>228</v>
      </c>
      <c r="R21" s="73">
        <v>230</v>
      </c>
      <c r="S21" s="65">
        <v>155</v>
      </c>
      <c r="T21" s="71">
        <v>131</v>
      </c>
      <c r="U21" s="72">
        <v>160</v>
      </c>
      <c r="V21" s="73">
        <v>103</v>
      </c>
      <c r="W21" s="65">
        <v>89</v>
      </c>
      <c r="X21" s="70">
        <v>409</v>
      </c>
      <c r="Y21" s="65">
        <v>184</v>
      </c>
      <c r="Z21" s="71">
        <v>290</v>
      </c>
      <c r="AA21" s="74">
        <v>277</v>
      </c>
    </row>
    <row r="22" spans="1:27" s="87" customFormat="1" ht="24" customHeight="1" x14ac:dyDescent="0.35">
      <c r="A22" s="1"/>
      <c r="B22" s="225"/>
      <c r="C22" s="49">
        <v>0.21999999999999997</v>
      </c>
      <c r="D22" s="50">
        <v>0.17000000000000004</v>
      </c>
      <c r="E22" s="51">
        <v>0.29000000000000004</v>
      </c>
      <c r="F22" s="50">
        <v>0.21999999999999997</v>
      </c>
      <c r="G22" s="51">
        <v>0.20999999999999996</v>
      </c>
      <c r="H22" s="51">
        <v>0.21999999999999997</v>
      </c>
      <c r="I22" s="51">
        <v>0.24</v>
      </c>
      <c r="J22" s="50">
        <v>0.19999999999999996</v>
      </c>
      <c r="K22" s="51">
        <v>0.25</v>
      </c>
      <c r="L22" s="51">
        <v>0.16000000000000003</v>
      </c>
      <c r="M22" s="50">
        <v>0.21999999999999997</v>
      </c>
      <c r="N22" s="51">
        <v>0</v>
      </c>
      <c r="O22" s="51">
        <v>0</v>
      </c>
      <c r="P22" s="51">
        <v>0</v>
      </c>
      <c r="Q22" s="50">
        <v>0.19999999999999996</v>
      </c>
      <c r="R22" s="51">
        <v>0.24</v>
      </c>
      <c r="S22" s="51">
        <v>0.25</v>
      </c>
      <c r="T22" s="50">
        <v>0.19999999999999996</v>
      </c>
      <c r="U22" s="51">
        <v>0.19999999999999996</v>
      </c>
      <c r="V22" s="51">
        <v>0.24</v>
      </c>
      <c r="W22" s="51">
        <v>0.30999999999999994</v>
      </c>
      <c r="X22" s="50">
        <v>0.20999999999999996</v>
      </c>
      <c r="Y22" s="51">
        <v>0.25</v>
      </c>
      <c r="Z22" s="50">
        <v>0.21999999999999997</v>
      </c>
      <c r="AA22" s="52">
        <v>0.20999999999999996</v>
      </c>
    </row>
    <row r="23" spans="1:27" s="93" customFormat="1" ht="21" customHeight="1" x14ac:dyDescent="0.35">
      <c r="A23" s="65"/>
      <c r="B23" s="232" t="s">
        <v>93</v>
      </c>
      <c r="C23" s="63">
        <v>26</v>
      </c>
      <c r="D23" s="70">
        <v>11</v>
      </c>
      <c r="E23" s="65">
        <v>15</v>
      </c>
      <c r="F23" s="71">
        <v>13</v>
      </c>
      <c r="G23" s="72">
        <v>5</v>
      </c>
      <c r="H23" s="73">
        <v>4</v>
      </c>
      <c r="I23" s="65">
        <v>3</v>
      </c>
      <c r="J23" s="71">
        <v>5</v>
      </c>
      <c r="K23" s="73">
        <v>8</v>
      </c>
      <c r="L23" s="65">
        <v>4</v>
      </c>
      <c r="M23" s="71">
        <v>26</v>
      </c>
      <c r="N23" s="72">
        <v>0</v>
      </c>
      <c r="O23" s="73">
        <v>0</v>
      </c>
      <c r="P23" s="65">
        <v>0</v>
      </c>
      <c r="Q23" s="71">
        <v>2</v>
      </c>
      <c r="R23" s="73">
        <v>12</v>
      </c>
      <c r="S23" s="65">
        <v>10</v>
      </c>
      <c r="T23" s="71">
        <v>1</v>
      </c>
      <c r="U23" s="72">
        <v>3</v>
      </c>
      <c r="V23" s="73">
        <v>1</v>
      </c>
      <c r="W23" s="65">
        <v>6</v>
      </c>
      <c r="X23" s="70">
        <v>21</v>
      </c>
      <c r="Y23" s="65">
        <v>4</v>
      </c>
      <c r="Z23" s="71">
        <v>11</v>
      </c>
      <c r="AA23" s="74">
        <v>11</v>
      </c>
    </row>
    <row r="24" spans="1:27" s="87" customFormat="1" ht="24" customHeight="1" thickBot="1" x14ac:dyDescent="0.4">
      <c r="A24" s="1"/>
      <c r="B24" s="233"/>
      <c r="C24" s="59">
        <v>1.0000000000000009E-2</v>
      </c>
      <c r="D24" s="60">
        <v>1.0000000000000009E-2</v>
      </c>
      <c r="E24" s="61">
        <v>1.0000000000000009E-2</v>
      </c>
      <c r="F24" s="60">
        <v>2.0000000000000018E-2</v>
      </c>
      <c r="G24" s="61">
        <v>1.0000000000000009E-2</v>
      </c>
      <c r="H24" s="61">
        <v>1.0000000000000009E-2</v>
      </c>
      <c r="I24" s="61">
        <v>0</v>
      </c>
      <c r="J24" s="60">
        <v>1.0000000000000009E-2</v>
      </c>
      <c r="K24" s="61">
        <v>1.0000000000000009E-2</v>
      </c>
      <c r="L24" s="61">
        <v>0</v>
      </c>
      <c r="M24" s="60">
        <v>1.0000000000000009E-2</v>
      </c>
      <c r="N24" s="61">
        <v>0</v>
      </c>
      <c r="O24" s="61">
        <v>0</v>
      </c>
      <c r="P24" s="61">
        <v>0</v>
      </c>
      <c r="Q24" s="60">
        <v>0</v>
      </c>
      <c r="R24" s="61">
        <v>1.0000000000000009E-2</v>
      </c>
      <c r="S24" s="61">
        <v>1.0000000000000009E-2</v>
      </c>
      <c r="T24" s="60">
        <v>0</v>
      </c>
      <c r="U24" s="61">
        <v>0</v>
      </c>
      <c r="V24" s="61">
        <v>0</v>
      </c>
      <c r="W24" s="61">
        <v>2.0000000000000018E-2</v>
      </c>
      <c r="X24" s="60">
        <v>1.0000000000000009E-2</v>
      </c>
      <c r="Y24" s="61">
        <v>0</v>
      </c>
      <c r="Z24" s="60">
        <v>1.0000000000000009E-2</v>
      </c>
      <c r="AA24" s="62">
        <v>1.0000000000000009E-2</v>
      </c>
    </row>
    <row r="25" spans="1:27" s="93" customFormat="1" ht="21" customHeight="1" x14ac:dyDescent="0.35">
      <c r="A25" s="65"/>
      <c r="B25" s="3"/>
      <c r="C25" s="63"/>
      <c r="D25" s="65"/>
      <c r="E25" s="65"/>
      <c r="F25" s="65"/>
      <c r="G25" s="65"/>
      <c r="H25" s="65"/>
      <c r="I25" s="65"/>
      <c r="J25" s="65"/>
      <c r="K25" s="65"/>
      <c r="L25" s="65"/>
      <c r="M25" s="65"/>
      <c r="N25" s="65"/>
      <c r="O25" s="65"/>
      <c r="P25" s="65"/>
      <c r="Q25" s="65"/>
      <c r="R25" s="65"/>
      <c r="S25" s="65"/>
      <c r="T25" s="65"/>
      <c r="U25" s="65"/>
      <c r="V25" s="65"/>
      <c r="W25" s="65"/>
      <c r="X25" s="65"/>
      <c r="Y25" s="65"/>
      <c r="Z25" s="65"/>
      <c r="AA25" s="65"/>
    </row>
    <row r="26" spans="1:27" s="87" customFormat="1" ht="24" customHeight="1" x14ac:dyDescent="0.35">
      <c r="A26" s="1"/>
      <c r="B26" s="3"/>
      <c r="C26" s="2"/>
      <c r="D26" s="1"/>
      <c r="E26" s="1"/>
      <c r="F26" s="1"/>
      <c r="G26" s="1"/>
      <c r="H26" s="1"/>
      <c r="I26" s="1"/>
      <c r="J26" s="1"/>
      <c r="K26" s="1"/>
      <c r="L26" s="1"/>
      <c r="M26" s="1"/>
      <c r="N26" s="1"/>
      <c r="O26" s="1"/>
      <c r="P26" s="1"/>
      <c r="Q26" s="1"/>
      <c r="R26" s="1"/>
      <c r="S26" s="1"/>
      <c r="T26" s="1"/>
      <c r="U26" s="1"/>
      <c r="V26" s="1"/>
      <c r="W26" s="1"/>
      <c r="X26" s="1"/>
      <c r="Y26" s="1"/>
      <c r="Z26" s="1"/>
      <c r="AA26" s="1"/>
    </row>
    <row r="27" spans="1:27" x14ac:dyDescent="0.4"/>
    <row r="28" spans="1:27" ht="24" customHeight="1" x14ac:dyDescent="0.4"/>
    <row r="29" spans="1:27" x14ac:dyDescent="0.4">
      <c r="B29" s="1"/>
    </row>
  </sheetData>
  <mergeCells count="14">
    <mergeCell ref="B15:B16"/>
    <mergeCell ref="B17:B18"/>
    <mergeCell ref="B19:B20"/>
    <mergeCell ref="B21:B22"/>
    <mergeCell ref="B23:B24"/>
    <mergeCell ref="T9:W9"/>
    <mergeCell ref="X9:Y9"/>
    <mergeCell ref="Z9:AA9"/>
    <mergeCell ref="B13:B14"/>
    <mergeCell ref="D9:E9"/>
    <mergeCell ref="F9:I9"/>
    <mergeCell ref="J9:L9"/>
    <mergeCell ref="M9:P9"/>
    <mergeCell ref="Q9:S9"/>
  </mergeCells>
  <hyperlinks>
    <hyperlink ref="B1" location="'Table of Contents'!A1" display="Home" xr:uid="{FDB6A0DA-149B-1643-8492-B77AA67B0BFC}"/>
  </hyperlinks>
  <pageMargins left="0.7" right="0.7" top="0.75" bottom="0.75" header="0.511811023622047" footer="0.511811023622047"/>
  <pageSetup paperSize="9" orientation="portrait" useFirstPageNumber="1"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Feuil24"/>
  <dimension ref="A1:AA33"/>
  <sheetViews>
    <sheetView showGridLines="0" zoomScale="60" zoomScaleNormal="60" workbookViewId="0"/>
  </sheetViews>
  <sheetFormatPr defaultColWidth="20.6328125" defaultRowHeight="19" customHeight="1" x14ac:dyDescent="0.4"/>
  <cols>
    <col min="1" max="1" width="8.81640625" style="101" customWidth="1"/>
    <col min="2" max="2" width="100.6328125" style="3" customWidth="1"/>
    <col min="3" max="3" width="20.6328125" style="2"/>
    <col min="4" max="23" width="20.6328125" style="1"/>
    <col min="24" max="27" width="20.6328125" style="101"/>
    <col min="28" max="16384" width="20.6328125" style="102"/>
  </cols>
  <sheetData>
    <row r="1" spans="1:27" x14ac:dyDescent="0.4">
      <c r="B1" s="37" t="s">
        <v>0</v>
      </c>
    </row>
    <row r="2" spans="1:27" x14ac:dyDescent="0.4">
      <c r="B2" s="3" t="s">
        <v>442</v>
      </c>
    </row>
    <row r="3" spans="1:27" x14ac:dyDescent="0.4">
      <c r="B3" s="3" t="s">
        <v>1</v>
      </c>
      <c r="D3" s="2"/>
      <c r="E3" s="2"/>
      <c r="F3" s="2"/>
      <c r="G3" s="2"/>
      <c r="H3" s="2"/>
      <c r="I3" s="2"/>
      <c r="J3" s="2"/>
      <c r="K3" s="2"/>
      <c r="L3" s="2"/>
      <c r="M3" s="2"/>
      <c r="N3" s="2"/>
      <c r="O3" s="2"/>
      <c r="P3" s="2"/>
      <c r="Q3" s="2"/>
      <c r="R3" s="2"/>
      <c r="S3" s="2"/>
      <c r="T3" s="2"/>
      <c r="U3" s="2"/>
      <c r="V3" s="2"/>
      <c r="W3" s="2"/>
    </row>
    <row r="4" spans="1:27" x14ac:dyDescent="0.4">
      <c r="B4" s="3" t="s">
        <v>2</v>
      </c>
    </row>
    <row r="6" spans="1:27" s="217" customFormat="1" ht="19" customHeight="1" x14ac:dyDescent="0.5">
      <c r="A6" s="216"/>
      <c r="B6" s="28" t="s">
        <v>384</v>
      </c>
      <c r="C6" s="2"/>
      <c r="D6" s="2"/>
      <c r="E6" s="2"/>
      <c r="F6" s="2"/>
      <c r="G6" s="2"/>
      <c r="H6" s="2"/>
      <c r="I6" s="2"/>
      <c r="J6" s="2"/>
      <c r="K6" s="2"/>
      <c r="L6" s="2"/>
      <c r="M6" s="2"/>
      <c r="N6" s="2"/>
      <c r="O6" s="2"/>
      <c r="P6" s="2"/>
      <c r="Q6" s="2"/>
      <c r="R6" s="2"/>
      <c r="S6" s="2"/>
      <c r="T6" s="2"/>
      <c r="U6" s="2"/>
      <c r="V6" s="2"/>
      <c r="W6" s="2"/>
      <c r="X6" s="216"/>
      <c r="Y6" s="216"/>
      <c r="Z6" s="216"/>
      <c r="AA6" s="216"/>
    </row>
    <row r="7" spans="1:27" ht="19.5" customHeight="1" x14ac:dyDescent="0.4">
      <c r="B7" s="215" t="s">
        <v>385</v>
      </c>
    </row>
    <row r="8" spans="1:27" ht="19" customHeight="1" thickBot="1" x14ac:dyDescent="0.45"/>
    <row r="9" spans="1:27" ht="19.5" customHeight="1" x14ac:dyDescent="0.4">
      <c r="B9" s="5"/>
      <c r="C9" s="6" t="s">
        <v>21</v>
      </c>
      <c r="D9" s="221" t="s">
        <v>22</v>
      </c>
      <c r="E9" s="222"/>
      <c r="F9" s="221" t="s">
        <v>23</v>
      </c>
      <c r="G9" s="222"/>
      <c r="H9" s="222"/>
      <c r="I9" s="222"/>
      <c r="J9" s="221" t="s">
        <v>24</v>
      </c>
      <c r="K9" s="222"/>
      <c r="L9" s="222"/>
      <c r="M9" s="221" t="s">
        <v>25</v>
      </c>
      <c r="N9" s="222"/>
      <c r="O9" s="222"/>
      <c r="P9" s="222"/>
      <c r="Q9" s="221" t="s">
        <v>26</v>
      </c>
      <c r="R9" s="222"/>
      <c r="S9" s="222"/>
      <c r="T9" s="221" t="s">
        <v>27</v>
      </c>
      <c r="U9" s="222"/>
      <c r="V9" s="222"/>
      <c r="W9" s="222"/>
      <c r="X9" s="221" t="s">
        <v>28</v>
      </c>
      <c r="Y9" s="222"/>
      <c r="Z9" s="221" t="s">
        <v>29</v>
      </c>
      <c r="AA9" s="223"/>
    </row>
    <row r="10" spans="1:27" s="89" customFormat="1" ht="57" customHeight="1" thickBot="1" x14ac:dyDescent="0.45">
      <c r="A10" s="2"/>
      <c r="B10" s="91"/>
      <c r="C10" s="7" t="e" vm="1">
        <v>#VALUE!</v>
      </c>
      <c r="D10" s="8" t="s">
        <v>30</v>
      </c>
      <c r="E10" s="9" t="s">
        <v>31</v>
      </c>
      <c r="F10" s="10" t="s">
        <v>32</v>
      </c>
      <c r="G10" s="11" t="s">
        <v>33</v>
      </c>
      <c r="H10" s="12" t="s">
        <v>34</v>
      </c>
      <c r="I10" s="9" t="s">
        <v>35</v>
      </c>
      <c r="J10" s="10" t="s">
        <v>36</v>
      </c>
      <c r="K10" s="12" t="s">
        <v>37</v>
      </c>
      <c r="L10" s="9" t="s">
        <v>38</v>
      </c>
      <c r="M10" s="10" t="s">
        <v>39</v>
      </c>
      <c r="N10" s="11" t="s">
        <v>40</v>
      </c>
      <c r="O10" s="12" t="s">
        <v>41</v>
      </c>
      <c r="P10" s="9" t="s">
        <v>42</v>
      </c>
      <c r="Q10" s="10" t="s">
        <v>43</v>
      </c>
      <c r="R10" s="12" t="s">
        <v>44</v>
      </c>
      <c r="S10" s="9" t="s">
        <v>45</v>
      </c>
      <c r="T10" s="34">
        <v>1</v>
      </c>
      <c r="U10" s="35">
        <v>2</v>
      </c>
      <c r="V10" s="36">
        <v>3</v>
      </c>
      <c r="W10" s="9" t="s">
        <v>46</v>
      </c>
      <c r="X10" s="13" t="s">
        <v>409</v>
      </c>
      <c r="Y10" s="9" t="s">
        <v>410</v>
      </c>
      <c r="Z10" s="10" t="s">
        <v>409</v>
      </c>
      <c r="AA10" s="31" t="s">
        <v>410</v>
      </c>
    </row>
    <row r="11" spans="1:27" s="94" customFormat="1" ht="18.75" customHeight="1" x14ac:dyDescent="0.35">
      <c r="A11" s="26"/>
      <c r="B11" s="14" t="s">
        <v>49</v>
      </c>
      <c r="C11" s="26">
        <v>14034</v>
      </c>
      <c r="D11" s="39">
        <v>7018</v>
      </c>
      <c r="E11" s="26">
        <v>6970</v>
      </c>
      <c r="F11" s="40">
        <v>1382</v>
      </c>
      <c r="G11" s="41">
        <v>4851</v>
      </c>
      <c r="H11" s="42">
        <v>5001</v>
      </c>
      <c r="I11" s="26">
        <v>2800</v>
      </c>
      <c r="J11" s="40">
        <v>1145</v>
      </c>
      <c r="K11" s="42">
        <v>4421</v>
      </c>
      <c r="L11" s="26">
        <v>7385</v>
      </c>
      <c r="M11" s="40">
        <v>0</v>
      </c>
      <c r="N11" s="41">
        <v>14034</v>
      </c>
      <c r="O11" s="42">
        <v>0</v>
      </c>
      <c r="P11" s="26">
        <v>0</v>
      </c>
      <c r="Q11" s="40">
        <v>5862</v>
      </c>
      <c r="R11" s="42">
        <v>5134</v>
      </c>
      <c r="S11" s="26">
        <v>3017</v>
      </c>
      <c r="T11" s="40">
        <v>2855</v>
      </c>
      <c r="U11" s="41">
        <v>5583</v>
      </c>
      <c r="V11" s="42">
        <v>2543</v>
      </c>
      <c r="W11" s="26">
        <v>1884</v>
      </c>
      <c r="X11" s="39">
        <v>9025</v>
      </c>
      <c r="Y11" s="26">
        <v>4559</v>
      </c>
      <c r="Z11" s="40">
        <v>5888</v>
      </c>
      <c r="AA11" s="43">
        <v>7494</v>
      </c>
    </row>
    <row r="12" spans="1:27" s="94" customFormat="1" ht="18.75" customHeight="1" thickBot="1" x14ac:dyDescent="0.4">
      <c r="A12" s="26"/>
      <c r="B12" s="15" t="s">
        <v>50</v>
      </c>
      <c r="C12" s="44">
        <v>12846</v>
      </c>
      <c r="D12" s="45">
        <v>6207</v>
      </c>
      <c r="E12" s="46">
        <v>6592</v>
      </c>
      <c r="F12" s="45">
        <v>1388</v>
      </c>
      <c r="G12" s="47">
        <v>3898</v>
      </c>
      <c r="H12" s="47">
        <v>4276</v>
      </c>
      <c r="I12" s="46">
        <v>3284</v>
      </c>
      <c r="J12" s="45">
        <v>2292</v>
      </c>
      <c r="K12" s="47">
        <v>4733</v>
      </c>
      <c r="L12" s="46">
        <v>4737</v>
      </c>
      <c r="M12" s="45">
        <v>0</v>
      </c>
      <c r="N12" s="47">
        <v>12846</v>
      </c>
      <c r="O12" s="47">
        <v>0</v>
      </c>
      <c r="P12" s="46">
        <v>0</v>
      </c>
      <c r="Q12" s="45">
        <v>5536</v>
      </c>
      <c r="R12" s="47">
        <v>4289</v>
      </c>
      <c r="S12" s="46">
        <v>2999</v>
      </c>
      <c r="T12" s="45">
        <v>2990</v>
      </c>
      <c r="U12" s="47">
        <v>4984</v>
      </c>
      <c r="V12" s="47">
        <v>2084</v>
      </c>
      <c r="W12" s="46">
        <v>1412</v>
      </c>
      <c r="X12" s="45">
        <v>8787</v>
      </c>
      <c r="Y12" s="46">
        <v>3586</v>
      </c>
      <c r="Z12" s="45">
        <v>5565</v>
      </c>
      <c r="AA12" s="48">
        <v>6592</v>
      </c>
    </row>
    <row r="13" spans="1:27" s="93" customFormat="1" ht="21" customHeight="1" x14ac:dyDescent="0.35">
      <c r="A13" s="65"/>
      <c r="B13" s="224" t="s">
        <v>386</v>
      </c>
      <c r="C13" s="63">
        <v>1021</v>
      </c>
      <c r="D13" s="64">
        <v>518</v>
      </c>
      <c r="E13" s="65">
        <v>499</v>
      </c>
      <c r="F13" s="66">
        <v>117</v>
      </c>
      <c r="G13" s="67">
        <v>400</v>
      </c>
      <c r="H13" s="68">
        <v>304</v>
      </c>
      <c r="I13" s="65">
        <v>200</v>
      </c>
      <c r="J13" s="66">
        <v>169</v>
      </c>
      <c r="K13" s="68">
        <v>187</v>
      </c>
      <c r="L13" s="65">
        <v>582</v>
      </c>
      <c r="M13" s="66">
        <v>0</v>
      </c>
      <c r="N13" s="67">
        <v>1021</v>
      </c>
      <c r="O13" s="68">
        <v>0</v>
      </c>
      <c r="P13" s="65">
        <v>0</v>
      </c>
      <c r="Q13" s="66">
        <v>525</v>
      </c>
      <c r="R13" s="68">
        <v>283</v>
      </c>
      <c r="S13" s="65">
        <v>213</v>
      </c>
      <c r="T13" s="66">
        <v>232</v>
      </c>
      <c r="U13" s="67">
        <v>413</v>
      </c>
      <c r="V13" s="68">
        <v>169</v>
      </c>
      <c r="W13" s="65">
        <v>118</v>
      </c>
      <c r="X13" s="64">
        <v>707</v>
      </c>
      <c r="Y13" s="65">
        <v>284</v>
      </c>
      <c r="Z13" s="66">
        <v>471</v>
      </c>
      <c r="AA13" s="69">
        <v>509</v>
      </c>
    </row>
    <row r="14" spans="1:27" s="87" customFormat="1" ht="24" customHeight="1" x14ac:dyDescent="0.35">
      <c r="A14" s="1"/>
      <c r="B14" s="225"/>
      <c r="C14" s="49">
        <v>0.08</v>
      </c>
      <c r="D14" s="50">
        <v>0.08</v>
      </c>
      <c r="E14" s="51">
        <v>0.08</v>
      </c>
      <c r="F14" s="50">
        <v>0.08</v>
      </c>
      <c r="G14" s="51">
        <v>0.1</v>
      </c>
      <c r="H14" s="51">
        <v>7.0000000000000007E-2</v>
      </c>
      <c r="I14" s="51">
        <v>0.06</v>
      </c>
      <c r="J14" s="50">
        <v>7.0000000000000007E-2</v>
      </c>
      <c r="K14" s="51">
        <v>0.04</v>
      </c>
      <c r="L14" s="51">
        <v>0.12</v>
      </c>
      <c r="M14" s="50">
        <v>0</v>
      </c>
      <c r="N14" s="51">
        <v>0.08</v>
      </c>
      <c r="O14" s="51">
        <v>0</v>
      </c>
      <c r="P14" s="51">
        <v>0</v>
      </c>
      <c r="Q14" s="50">
        <v>0.09</v>
      </c>
      <c r="R14" s="51">
        <v>7.0000000000000007E-2</v>
      </c>
      <c r="S14" s="51">
        <v>7.0000000000000007E-2</v>
      </c>
      <c r="T14" s="50">
        <v>0.08</v>
      </c>
      <c r="U14" s="51">
        <v>0.08</v>
      </c>
      <c r="V14" s="51">
        <v>0.08</v>
      </c>
      <c r="W14" s="51">
        <v>0.08</v>
      </c>
      <c r="X14" s="50">
        <v>0.08</v>
      </c>
      <c r="Y14" s="51">
        <v>0.08</v>
      </c>
      <c r="Z14" s="50">
        <v>0.08</v>
      </c>
      <c r="AA14" s="52">
        <v>0.08</v>
      </c>
    </row>
    <row r="15" spans="1:27" s="93" customFormat="1" ht="21" customHeight="1" x14ac:dyDescent="0.35">
      <c r="A15" s="65"/>
      <c r="B15" s="228" t="s">
        <v>387</v>
      </c>
      <c r="C15" s="63">
        <v>796</v>
      </c>
      <c r="D15" s="70">
        <v>513</v>
      </c>
      <c r="E15" s="65">
        <v>277</v>
      </c>
      <c r="F15" s="71">
        <v>111</v>
      </c>
      <c r="G15" s="72">
        <v>318</v>
      </c>
      <c r="H15" s="73">
        <v>225</v>
      </c>
      <c r="I15" s="65">
        <v>143</v>
      </c>
      <c r="J15" s="71">
        <v>167</v>
      </c>
      <c r="K15" s="73">
        <v>170</v>
      </c>
      <c r="L15" s="65">
        <v>410</v>
      </c>
      <c r="M15" s="71">
        <v>0</v>
      </c>
      <c r="N15" s="72">
        <v>796</v>
      </c>
      <c r="O15" s="73">
        <v>0</v>
      </c>
      <c r="P15" s="65">
        <v>0</v>
      </c>
      <c r="Q15" s="71">
        <v>446</v>
      </c>
      <c r="R15" s="73">
        <v>232</v>
      </c>
      <c r="S15" s="65">
        <v>116</v>
      </c>
      <c r="T15" s="71">
        <v>150</v>
      </c>
      <c r="U15" s="72">
        <v>318</v>
      </c>
      <c r="V15" s="73">
        <v>158</v>
      </c>
      <c r="W15" s="65">
        <v>73</v>
      </c>
      <c r="X15" s="70">
        <v>594</v>
      </c>
      <c r="Y15" s="65">
        <v>195</v>
      </c>
      <c r="Z15" s="71">
        <v>409</v>
      </c>
      <c r="AA15" s="74">
        <v>377</v>
      </c>
    </row>
    <row r="16" spans="1:27" s="87" customFormat="1" ht="24" customHeight="1" x14ac:dyDescent="0.35">
      <c r="A16" s="1"/>
      <c r="B16" s="225"/>
      <c r="C16" s="49">
        <v>6.0000000000000012E-2</v>
      </c>
      <c r="D16" s="50">
        <v>9.0000000000000011E-2</v>
      </c>
      <c r="E16" s="51">
        <v>3.9999999999999994E-2</v>
      </c>
      <c r="F16" s="50">
        <v>0.08</v>
      </c>
      <c r="G16" s="51">
        <v>7.9999999999999988E-2</v>
      </c>
      <c r="H16" s="51">
        <v>4.9999999999999989E-2</v>
      </c>
      <c r="I16" s="51">
        <v>4.0000000000000008E-2</v>
      </c>
      <c r="J16" s="50">
        <v>7.9999999999999988E-2</v>
      </c>
      <c r="K16" s="51">
        <v>0.04</v>
      </c>
      <c r="L16" s="51">
        <v>0.09</v>
      </c>
      <c r="M16" s="50">
        <v>0</v>
      </c>
      <c r="N16" s="51">
        <v>6.0000000000000012E-2</v>
      </c>
      <c r="O16" s="51">
        <v>0</v>
      </c>
      <c r="P16" s="51">
        <v>0</v>
      </c>
      <c r="Q16" s="50">
        <v>0.09</v>
      </c>
      <c r="R16" s="51">
        <v>4.9999999999999989E-2</v>
      </c>
      <c r="S16" s="51">
        <v>3.9999999999999994E-2</v>
      </c>
      <c r="T16" s="50">
        <v>0.05</v>
      </c>
      <c r="U16" s="51">
        <v>6.9999999999999993E-2</v>
      </c>
      <c r="V16" s="51">
        <v>0.08</v>
      </c>
      <c r="W16" s="51">
        <v>6.0000000000000012E-2</v>
      </c>
      <c r="X16" s="50">
        <v>6.9999999999999993E-2</v>
      </c>
      <c r="Y16" s="51">
        <v>0.05</v>
      </c>
      <c r="Z16" s="50">
        <v>0.08</v>
      </c>
      <c r="AA16" s="52">
        <v>0.05</v>
      </c>
    </row>
    <row r="17" spans="1:27" s="93" customFormat="1" ht="21" customHeight="1" x14ac:dyDescent="0.35">
      <c r="A17" s="65"/>
      <c r="B17" s="228" t="s">
        <v>388</v>
      </c>
      <c r="C17" s="63">
        <v>2357</v>
      </c>
      <c r="D17" s="70">
        <v>1476</v>
      </c>
      <c r="E17" s="65">
        <v>879</v>
      </c>
      <c r="F17" s="71">
        <v>207</v>
      </c>
      <c r="G17" s="72">
        <v>730</v>
      </c>
      <c r="H17" s="73">
        <v>840</v>
      </c>
      <c r="I17" s="65">
        <v>579</v>
      </c>
      <c r="J17" s="71">
        <v>348</v>
      </c>
      <c r="K17" s="73">
        <v>729</v>
      </c>
      <c r="L17" s="65">
        <v>1134</v>
      </c>
      <c r="M17" s="71">
        <v>0</v>
      </c>
      <c r="N17" s="72">
        <v>2357</v>
      </c>
      <c r="O17" s="73">
        <v>0</v>
      </c>
      <c r="P17" s="65">
        <v>0</v>
      </c>
      <c r="Q17" s="71">
        <v>1099</v>
      </c>
      <c r="R17" s="73">
        <v>818</v>
      </c>
      <c r="S17" s="65">
        <v>439</v>
      </c>
      <c r="T17" s="71">
        <v>505</v>
      </c>
      <c r="U17" s="72">
        <v>920</v>
      </c>
      <c r="V17" s="73">
        <v>438</v>
      </c>
      <c r="W17" s="65">
        <v>275</v>
      </c>
      <c r="X17" s="70">
        <v>1604</v>
      </c>
      <c r="Y17" s="65">
        <v>708</v>
      </c>
      <c r="Z17" s="71">
        <v>966</v>
      </c>
      <c r="AA17" s="74">
        <v>1307</v>
      </c>
    </row>
    <row r="18" spans="1:27" s="87" customFormat="1" ht="24" customHeight="1" x14ac:dyDescent="0.35">
      <c r="A18" s="1"/>
      <c r="B18" s="225"/>
      <c r="C18" s="49">
        <v>0.18</v>
      </c>
      <c r="D18" s="50">
        <v>0.23</v>
      </c>
      <c r="E18" s="51">
        <v>0.13</v>
      </c>
      <c r="F18" s="50">
        <v>0.15</v>
      </c>
      <c r="G18" s="51">
        <v>0.19</v>
      </c>
      <c r="H18" s="51">
        <v>0.2</v>
      </c>
      <c r="I18" s="51">
        <v>0.18000000000000002</v>
      </c>
      <c r="J18" s="50">
        <v>0.15</v>
      </c>
      <c r="K18" s="51">
        <v>0.15000000000000002</v>
      </c>
      <c r="L18" s="51">
        <v>0.24000000000000002</v>
      </c>
      <c r="M18" s="50">
        <v>0</v>
      </c>
      <c r="N18" s="51">
        <v>0.18</v>
      </c>
      <c r="O18" s="51">
        <v>0</v>
      </c>
      <c r="P18" s="51">
        <v>0</v>
      </c>
      <c r="Q18" s="50">
        <v>0.19</v>
      </c>
      <c r="R18" s="51">
        <v>0.19</v>
      </c>
      <c r="S18" s="51">
        <v>0.15000000000000002</v>
      </c>
      <c r="T18" s="50">
        <v>0.16999999999999998</v>
      </c>
      <c r="U18" s="51">
        <v>0.18000000000000002</v>
      </c>
      <c r="V18" s="51">
        <v>0.21</v>
      </c>
      <c r="W18" s="51">
        <v>0.19</v>
      </c>
      <c r="X18" s="50">
        <v>0.18000000000000002</v>
      </c>
      <c r="Y18" s="51">
        <v>0.2</v>
      </c>
      <c r="Z18" s="50">
        <v>0.17</v>
      </c>
      <c r="AA18" s="52">
        <v>0.2</v>
      </c>
    </row>
    <row r="19" spans="1:27" s="93" customFormat="1" ht="21" customHeight="1" x14ac:dyDescent="0.35">
      <c r="A19" s="65"/>
      <c r="B19" s="228" t="s">
        <v>389</v>
      </c>
      <c r="C19" s="63">
        <v>1819</v>
      </c>
      <c r="D19" s="70">
        <v>814</v>
      </c>
      <c r="E19" s="65">
        <v>998</v>
      </c>
      <c r="F19" s="71">
        <v>130</v>
      </c>
      <c r="G19" s="72">
        <v>429</v>
      </c>
      <c r="H19" s="73">
        <v>690</v>
      </c>
      <c r="I19" s="65">
        <v>570</v>
      </c>
      <c r="J19" s="71">
        <v>299</v>
      </c>
      <c r="K19" s="73">
        <v>768</v>
      </c>
      <c r="L19" s="65">
        <v>636</v>
      </c>
      <c r="M19" s="71">
        <v>0</v>
      </c>
      <c r="N19" s="72">
        <v>1819</v>
      </c>
      <c r="O19" s="73">
        <v>0</v>
      </c>
      <c r="P19" s="65">
        <v>0</v>
      </c>
      <c r="Q19" s="71">
        <v>731</v>
      </c>
      <c r="R19" s="73">
        <v>725</v>
      </c>
      <c r="S19" s="65">
        <v>362</v>
      </c>
      <c r="T19" s="71">
        <v>436</v>
      </c>
      <c r="U19" s="72">
        <v>642</v>
      </c>
      <c r="V19" s="73">
        <v>265</v>
      </c>
      <c r="W19" s="65">
        <v>205</v>
      </c>
      <c r="X19" s="70">
        <v>1238</v>
      </c>
      <c r="Y19" s="65">
        <v>506</v>
      </c>
      <c r="Z19" s="71">
        <v>832</v>
      </c>
      <c r="AA19" s="74">
        <v>880</v>
      </c>
    </row>
    <row r="20" spans="1:27" s="87" customFormat="1" ht="24" customHeight="1" x14ac:dyDescent="0.35">
      <c r="A20" s="1"/>
      <c r="B20" s="225"/>
      <c r="C20" s="49">
        <v>0.14999999999999997</v>
      </c>
      <c r="D20" s="50">
        <v>0.14000000000000001</v>
      </c>
      <c r="E20" s="51">
        <v>0.15000000000000002</v>
      </c>
      <c r="F20" s="50">
        <v>9.9999999999999978E-2</v>
      </c>
      <c r="G20" s="51">
        <v>0.10999999999999999</v>
      </c>
      <c r="H20" s="51">
        <v>0.15999999999999998</v>
      </c>
      <c r="I20" s="51">
        <v>0.16999999999999998</v>
      </c>
      <c r="J20" s="50">
        <v>0.13</v>
      </c>
      <c r="K20" s="51">
        <v>0.16</v>
      </c>
      <c r="L20" s="51">
        <v>0.12999999999999995</v>
      </c>
      <c r="M20" s="50">
        <v>0</v>
      </c>
      <c r="N20" s="51">
        <v>0.14999999999999997</v>
      </c>
      <c r="O20" s="51">
        <v>0</v>
      </c>
      <c r="P20" s="51">
        <v>0</v>
      </c>
      <c r="Q20" s="50">
        <v>0.14000000000000001</v>
      </c>
      <c r="R20" s="51">
        <v>0.16999999999999998</v>
      </c>
      <c r="S20" s="51">
        <v>0.12</v>
      </c>
      <c r="T20" s="50">
        <v>0.14000000000000001</v>
      </c>
      <c r="U20" s="51">
        <v>0.13</v>
      </c>
      <c r="V20" s="51">
        <v>0.12</v>
      </c>
      <c r="W20" s="51">
        <v>0.13999999999999996</v>
      </c>
      <c r="X20" s="50">
        <v>0.13999999999999996</v>
      </c>
      <c r="Y20" s="51">
        <v>0.13999999999999996</v>
      </c>
      <c r="Z20" s="50">
        <v>0.14999999999999997</v>
      </c>
      <c r="AA20" s="52">
        <v>0.13999999999999996</v>
      </c>
    </row>
    <row r="21" spans="1:27" s="93" customFormat="1" ht="21" customHeight="1" x14ac:dyDescent="0.35">
      <c r="A21" s="65"/>
      <c r="B21" s="228" t="s">
        <v>390</v>
      </c>
      <c r="C21" s="63">
        <v>2623</v>
      </c>
      <c r="D21" s="70">
        <v>978</v>
      </c>
      <c r="E21" s="65">
        <v>1642</v>
      </c>
      <c r="F21" s="71">
        <v>250</v>
      </c>
      <c r="G21" s="72">
        <v>818</v>
      </c>
      <c r="H21" s="73">
        <v>876</v>
      </c>
      <c r="I21" s="65">
        <v>680</v>
      </c>
      <c r="J21" s="71">
        <v>395</v>
      </c>
      <c r="K21" s="73">
        <v>1030</v>
      </c>
      <c r="L21" s="65">
        <v>1005</v>
      </c>
      <c r="M21" s="71">
        <v>0</v>
      </c>
      <c r="N21" s="72">
        <v>2623</v>
      </c>
      <c r="O21" s="73">
        <v>0</v>
      </c>
      <c r="P21" s="65">
        <v>0</v>
      </c>
      <c r="Q21" s="71">
        <v>1241</v>
      </c>
      <c r="R21" s="73">
        <v>831</v>
      </c>
      <c r="S21" s="65">
        <v>550</v>
      </c>
      <c r="T21" s="71">
        <v>658</v>
      </c>
      <c r="U21" s="72">
        <v>1146</v>
      </c>
      <c r="V21" s="73">
        <v>384</v>
      </c>
      <c r="W21" s="65">
        <v>241</v>
      </c>
      <c r="X21" s="70">
        <v>1859</v>
      </c>
      <c r="Y21" s="65">
        <v>663</v>
      </c>
      <c r="Z21" s="71">
        <v>1100</v>
      </c>
      <c r="AA21" s="74">
        <v>1366</v>
      </c>
    </row>
    <row r="22" spans="1:27" s="87" customFormat="1" ht="24" customHeight="1" x14ac:dyDescent="0.35">
      <c r="A22" s="1"/>
      <c r="B22" s="225"/>
      <c r="C22" s="49">
        <v>0.20000000000000007</v>
      </c>
      <c r="D22" s="50">
        <v>0.14999999999999991</v>
      </c>
      <c r="E22" s="51">
        <v>0.25</v>
      </c>
      <c r="F22" s="50">
        <v>0.18</v>
      </c>
      <c r="G22" s="51">
        <v>0.20999999999999996</v>
      </c>
      <c r="H22" s="51">
        <v>0.20999999999999996</v>
      </c>
      <c r="I22" s="51">
        <v>0.21000000000000002</v>
      </c>
      <c r="J22" s="50">
        <v>0.16999999999999998</v>
      </c>
      <c r="K22" s="51">
        <v>0.21999999999999997</v>
      </c>
      <c r="L22" s="51">
        <v>0.22000000000000008</v>
      </c>
      <c r="M22" s="50">
        <v>0</v>
      </c>
      <c r="N22" s="51">
        <v>0.20000000000000007</v>
      </c>
      <c r="O22" s="51">
        <v>0</v>
      </c>
      <c r="P22" s="51">
        <v>0</v>
      </c>
      <c r="Q22" s="50">
        <v>0.21999999999999997</v>
      </c>
      <c r="R22" s="51">
        <v>0.19000000000000006</v>
      </c>
      <c r="S22" s="51">
        <v>0.18000000000000005</v>
      </c>
      <c r="T22" s="50">
        <v>0.22000000000000003</v>
      </c>
      <c r="U22" s="51">
        <v>0.22999999999999993</v>
      </c>
      <c r="V22" s="51">
        <v>0.19000000000000006</v>
      </c>
      <c r="W22" s="51">
        <v>0.18000000000000005</v>
      </c>
      <c r="X22" s="50">
        <v>0.21000000000000008</v>
      </c>
      <c r="Y22" s="51">
        <v>0.19000000000000006</v>
      </c>
      <c r="Z22" s="50">
        <v>0.20000000000000007</v>
      </c>
      <c r="AA22" s="52">
        <v>0.20000000000000007</v>
      </c>
    </row>
    <row r="23" spans="1:27" s="93" customFormat="1" ht="21" customHeight="1" x14ac:dyDescent="0.35">
      <c r="A23" s="65"/>
      <c r="B23" s="228" t="s">
        <v>391</v>
      </c>
      <c r="C23" s="63">
        <v>2867</v>
      </c>
      <c r="D23" s="70">
        <v>1184</v>
      </c>
      <c r="E23" s="65">
        <v>1666</v>
      </c>
      <c r="F23" s="71">
        <v>367</v>
      </c>
      <c r="G23" s="72">
        <v>836</v>
      </c>
      <c r="H23" s="73">
        <v>890</v>
      </c>
      <c r="I23" s="65">
        <v>774</v>
      </c>
      <c r="J23" s="71">
        <v>568</v>
      </c>
      <c r="K23" s="73">
        <v>1308</v>
      </c>
      <c r="L23" s="65">
        <v>738</v>
      </c>
      <c r="M23" s="71">
        <v>0</v>
      </c>
      <c r="N23" s="72">
        <v>2867</v>
      </c>
      <c r="O23" s="73">
        <v>0</v>
      </c>
      <c r="P23" s="65">
        <v>0</v>
      </c>
      <c r="Q23" s="71">
        <v>1040</v>
      </c>
      <c r="R23" s="73">
        <v>954</v>
      </c>
      <c r="S23" s="65">
        <v>873</v>
      </c>
      <c r="T23" s="71">
        <v>698</v>
      </c>
      <c r="U23" s="72">
        <v>1073</v>
      </c>
      <c r="V23" s="73">
        <v>474</v>
      </c>
      <c r="W23" s="65">
        <v>341</v>
      </c>
      <c r="X23" s="70">
        <v>1887</v>
      </c>
      <c r="Y23" s="65">
        <v>847</v>
      </c>
      <c r="Z23" s="71">
        <v>1224</v>
      </c>
      <c r="AA23" s="74">
        <v>1483</v>
      </c>
    </row>
    <row r="24" spans="1:27" s="87" customFormat="1" ht="24" customHeight="1" x14ac:dyDescent="0.35">
      <c r="A24" s="1"/>
      <c r="B24" s="225"/>
      <c r="C24" s="49">
        <v>0.21999999999999997</v>
      </c>
      <c r="D24" s="50">
        <v>0.12</v>
      </c>
      <c r="E24" s="51">
        <v>9.9999999999999978E-2</v>
      </c>
      <c r="F24" s="50">
        <v>0.14000000000000001</v>
      </c>
      <c r="G24" s="51">
        <v>8.9999999999999969E-2</v>
      </c>
      <c r="H24" s="51">
        <v>0.10999999999999999</v>
      </c>
      <c r="I24" s="51">
        <v>9.9999999999999978E-2</v>
      </c>
      <c r="J24" s="50">
        <v>0.14000000000000001</v>
      </c>
      <c r="K24" s="51">
        <v>0.10999999999999999</v>
      </c>
      <c r="L24" s="51">
        <v>5.0000000000000044E-2</v>
      </c>
      <c r="M24" s="50">
        <v>0</v>
      </c>
      <c r="N24" s="51">
        <v>0.10999999999999999</v>
      </c>
      <c r="O24" s="51">
        <v>0</v>
      </c>
      <c r="P24" s="51">
        <v>0</v>
      </c>
      <c r="Q24" s="50">
        <v>7.999999999999996E-2</v>
      </c>
      <c r="R24" s="51">
        <v>9.9999999999999978E-2</v>
      </c>
      <c r="S24" s="51">
        <v>0.15000000000000002</v>
      </c>
      <c r="T24" s="50">
        <v>9.9999999999999978E-2</v>
      </c>
      <c r="U24" s="51">
        <v>8.9999999999999969E-2</v>
      </c>
      <c r="V24" s="51">
        <v>8.9999999999999969E-2</v>
      </c>
      <c r="W24" s="51">
        <v>0.10999999999999999</v>
      </c>
      <c r="X24" s="50">
        <v>9.9999999999999978E-2</v>
      </c>
      <c r="Y24" s="51">
        <v>0.10999999999999999</v>
      </c>
      <c r="Z24" s="50">
        <v>9.9999999999999978E-2</v>
      </c>
      <c r="AA24" s="52">
        <v>9.9999999999999978E-2</v>
      </c>
    </row>
    <row r="25" spans="1:27" s="93" customFormat="1" ht="21" customHeight="1" x14ac:dyDescent="0.35">
      <c r="A25" s="65"/>
      <c r="B25" s="228" t="s">
        <v>81</v>
      </c>
      <c r="C25" s="63">
        <v>1321</v>
      </c>
      <c r="D25" s="70">
        <v>697</v>
      </c>
      <c r="E25" s="65">
        <v>618</v>
      </c>
      <c r="F25" s="71">
        <v>190</v>
      </c>
      <c r="G25" s="72">
        <v>352</v>
      </c>
      <c r="H25" s="73">
        <v>443</v>
      </c>
      <c r="I25" s="65">
        <v>335</v>
      </c>
      <c r="J25" s="71">
        <v>332</v>
      </c>
      <c r="K25" s="73">
        <v>530</v>
      </c>
      <c r="L25" s="65">
        <v>227</v>
      </c>
      <c r="M25" s="71">
        <v>0</v>
      </c>
      <c r="N25" s="72">
        <v>1321</v>
      </c>
      <c r="O25" s="73">
        <v>0</v>
      </c>
      <c r="P25" s="65">
        <v>0</v>
      </c>
      <c r="Q25" s="71">
        <v>434</v>
      </c>
      <c r="R25" s="73">
        <v>438</v>
      </c>
      <c r="S25" s="65">
        <v>438</v>
      </c>
      <c r="T25" s="71">
        <v>304</v>
      </c>
      <c r="U25" s="72">
        <v>459</v>
      </c>
      <c r="V25" s="73">
        <v>195</v>
      </c>
      <c r="W25" s="65">
        <v>159</v>
      </c>
      <c r="X25" s="70">
        <v>865</v>
      </c>
      <c r="Y25" s="65">
        <v>378</v>
      </c>
      <c r="Z25" s="71">
        <v>548</v>
      </c>
      <c r="AA25" s="74">
        <v>648</v>
      </c>
    </row>
    <row r="26" spans="1:27" s="87" customFormat="1" ht="24" customHeight="1" x14ac:dyDescent="0.35">
      <c r="A26" s="1"/>
      <c r="B26" s="225"/>
      <c r="C26" s="49">
        <v>0.10999999999999999</v>
      </c>
      <c r="D26" s="50">
        <v>0.12</v>
      </c>
      <c r="E26" s="51">
        <v>9.9999999999999978E-2</v>
      </c>
      <c r="F26" s="50">
        <v>0.14000000000000001</v>
      </c>
      <c r="G26" s="51">
        <v>8.9999999999999969E-2</v>
      </c>
      <c r="H26" s="51">
        <v>0.10999999999999999</v>
      </c>
      <c r="I26" s="51">
        <v>9.9999999999999978E-2</v>
      </c>
      <c r="J26" s="50">
        <v>0.14000000000000001</v>
      </c>
      <c r="K26" s="51">
        <v>0.10999999999999999</v>
      </c>
      <c r="L26" s="51">
        <v>5.0000000000000044E-2</v>
      </c>
      <c r="M26" s="50">
        <v>0</v>
      </c>
      <c r="N26" s="51">
        <v>0.10999999999999999</v>
      </c>
      <c r="O26" s="51">
        <v>0</v>
      </c>
      <c r="P26" s="51">
        <v>0</v>
      </c>
      <c r="Q26" s="50">
        <v>7.999999999999996E-2</v>
      </c>
      <c r="R26" s="51">
        <v>9.9999999999999978E-2</v>
      </c>
      <c r="S26" s="51">
        <v>0.15000000000000002</v>
      </c>
      <c r="T26" s="50">
        <v>9.9999999999999978E-2</v>
      </c>
      <c r="U26" s="51">
        <v>8.9999999999999969E-2</v>
      </c>
      <c r="V26" s="51">
        <v>8.9999999999999969E-2</v>
      </c>
      <c r="W26" s="51">
        <v>0.10999999999999999</v>
      </c>
      <c r="X26" s="50">
        <v>9.9999999999999978E-2</v>
      </c>
      <c r="Y26" s="51">
        <v>0.10999999999999999</v>
      </c>
      <c r="Z26" s="50">
        <v>9.9999999999999978E-2</v>
      </c>
      <c r="AA26" s="52">
        <v>9.9999999999999978E-2</v>
      </c>
    </row>
    <row r="27" spans="1:27" s="218" customFormat="1" ht="20.25" customHeight="1" x14ac:dyDescent="0.3">
      <c r="A27" s="27"/>
      <c r="B27" s="232" t="s">
        <v>93</v>
      </c>
      <c r="C27" s="16">
        <v>41</v>
      </c>
      <c r="D27" s="18">
        <v>27</v>
      </c>
      <c r="E27" s="17">
        <v>13</v>
      </c>
      <c r="F27" s="19">
        <v>15</v>
      </c>
      <c r="G27" s="20">
        <v>15</v>
      </c>
      <c r="H27" s="21">
        <v>7</v>
      </c>
      <c r="I27" s="17">
        <v>4</v>
      </c>
      <c r="J27" s="19">
        <v>13</v>
      </c>
      <c r="K27" s="21">
        <v>11</v>
      </c>
      <c r="L27" s="17">
        <v>7</v>
      </c>
      <c r="M27" s="19">
        <v>0</v>
      </c>
      <c r="N27" s="20">
        <v>41</v>
      </c>
      <c r="O27" s="21">
        <v>0</v>
      </c>
      <c r="P27" s="17">
        <v>0</v>
      </c>
      <c r="Q27" s="19">
        <v>21</v>
      </c>
      <c r="R27" s="21">
        <v>9</v>
      </c>
      <c r="S27" s="17">
        <v>8</v>
      </c>
      <c r="T27" s="19">
        <v>7</v>
      </c>
      <c r="U27" s="20">
        <v>12</v>
      </c>
      <c r="V27" s="21">
        <v>2</v>
      </c>
      <c r="W27" s="17">
        <v>1</v>
      </c>
      <c r="X27" s="18">
        <v>33</v>
      </c>
      <c r="Y27" s="17">
        <v>5</v>
      </c>
      <c r="Z27" s="19">
        <v>14</v>
      </c>
      <c r="AA27" s="32">
        <v>22</v>
      </c>
    </row>
    <row r="28" spans="1:27" ht="24" customHeight="1" thickBot="1" x14ac:dyDescent="0.45">
      <c r="B28" s="234"/>
      <c r="C28" s="22">
        <v>0</v>
      </c>
      <c r="D28" s="23">
        <v>0</v>
      </c>
      <c r="E28" s="24">
        <v>0</v>
      </c>
      <c r="F28" s="23">
        <v>1.0000000000000009E-2</v>
      </c>
      <c r="G28" s="24">
        <v>0</v>
      </c>
      <c r="H28" s="24">
        <v>0</v>
      </c>
      <c r="I28" s="24">
        <v>0</v>
      </c>
      <c r="J28" s="23">
        <v>1.0000000000000009E-2</v>
      </c>
      <c r="K28" s="24">
        <v>0</v>
      </c>
      <c r="L28" s="24">
        <v>0</v>
      </c>
      <c r="M28" s="23">
        <v>0</v>
      </c>
      <c r="N28" s="24">
        <v>0</v>
      </c>
      <c r="O28" s="24">
        <v>0</v>
      </c>
      <c r="P28" s="24">
        <v>0</v>
      </c>
      <c r="Q28" s="23">
        <v>0</v>
      </c>
      <c r="R28" s="24">
        <v>0</v>
      </c>
      <c r="S28" s="24">
        <v>0</v>
      </c>
      <c r="T28" s="23">
        <v>0</v>
      </c>
      <c r="U28" s="24">
        <v>0</v>
      </c>
      <c r="V28" s="24">
        <v>0</v>
      </c>
      <c r="W28" s="24">
        <v>0</v>
      </c>
      <c r="X28" s="23">
        <v>0</v>
      </c>
      <c r="Y28" s="24">
        <v>0</v>
      </c>
      <c r="Z28" s="23">
        <v>0</v>
      </c>
      <c r="AA28" s="33">
        <v>0</v>
      </c>
    </row>
    <row r="29" spans="1:27" x14ac:dyDescent="0.4">
      <c r="B29" s="1"/>
    </row>
    <row r="30" spans="1:27" ht="24.75" customHeight="1" x14ac:dyDescent="0.4"/>
    <row r="31" spans="1:27" x14ac:dyDescent="0.4"/>
    <row r="32" spans="1:27" ht="24" customHeight="1" x14ac:dyDescent="0.4"/>
    <row r="33" x14ac:dyDescent="0.4"/>
  </sheetData>
  <mergeCells count="16">
    <mergeCell ref="B25:B26"/>
    <mergeCell ref="B27:B28"/>
    <mergeCell ref="B15:B16"/>
    <mergeCell ref="B17:B18"/>
    <mergeCell ref="B19:B20"/>
    <mergeCell ref="B21:B22"/>
    <mergeCell ref="B23:B24"/>
    <mergeCell ref="T9:W9"/>
    <mergeCell ref="X9:Y9"/>
    <mergeCell ref="Z9:AA9"/>
    <mergeCell ref="B13:B14"/>
    <mergeCell ref="D9:E9"/>
    <mergeCell ref="F9:I9"/>
    <mergeCell ref="J9:L9"/>
    <mergeCell ref="M9:P9"/>
    <mergeCell ref="Q9:S9"/>
  </mergeCells>
  <hyperlinks>
    <hyperlink ref="B1" location="'Table of Contents'!A1" display="Home" xr:uid="{155D6D25-3D29-3241-9C75-255511360E80}"/>
  </hyperlinks>
  <pageMargins left="0.7" right="0.7" top="0.75" bottom="0.75" header="0.511811023622047" footer="0.511811023622047"/>
  <pageSetup paperSize="9" orientation="portrait" useFirstPageNumber="1"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Feuil25"/>
  <dimension ref="A1:AA35"/>
  <sheetViews>
    <sheetView showGridLines="0" zoomScale="60" zoomScaleNormal="60" workbookViewId="0"/>
  </sheetViews>
  <sheetFormatPr defaultColWidth="20.6328125" defaultRowHeight="19" customHeight="1" x14ac:dyDescent="0.4"/>
  <cols>
    <col min="1" max="1" width="8.81640625" style="101" customWidth="1"/>
    <col min="2" max="2" width="100.6328125" style="3" customWidth="1"/>
    <col min="3" max="3" width="20.6328125" style="2"/>
    <col min="4" max="23" width="20.6328125" style="1"/>
    <col min="24" max="27" width="20.6328125" style="101"/>
    <col min="28" max="16384" width="20.6328125" style="102"/>
  </cols>
  <sheetData>
    <row r="1" spans="1:27" x14ac:dyDescent="0.4">
      <c r="B1" s="37" t="s">
        <v>0</v>
      </c>
    </row>
    <row r="2" spans="1:27" x14ac:dyDescent="0.4">
      <c r="B2" s="3" t="s">
        <v>442</v>
      </c>
    </row>
    <row r="3" spans="1:27" x14ac:dyDescent="0.4">
      <c r="B3" s="3" t="s">
        <v>1</v>
      </c>
      <c r="D3" s="2"/>
      <c r="E3" s="2"/>
      <c r="F3" s="2"/>
      <c r="G3" s="2"/>
      <c r="H3" s="2"/>
      <c r="I3" s="2"/>
      <c r="J3" s="2"/>
      <c r="K3" s="2"/>
      <c r="L3" s="2"/>
      <c r="M3" s="2"/>
      <c r="N3" s="2"/>
      <c r="O3" s="2"/>
      <c r="P3" s="2"/>
      <c r="Q3" s="2"/>
      <c r="R3" s="2"/>
      <c r="S3" s="2"/>
      <c r="T3" s="2"/>
      <c r="U3" s="2"/>
      <c r="V3" s="2"/>
      <c r="W3" s="2"/>
    </row>
    <row r="4" spans="1:27" x14ac:dyDescent="0.4">
      <c r="B4" s="3" t="s">
        <v>2</v>
      </c>
    </row>
    <row r="6" spans="1:27" s="217" customFormat="1" ht="19" customHeight="1" x14ac:dyDescent="0.5">
      <c r="A6" s="216"/>
      <c r="B6" s="28" t="s">
        <v>392</v>
      </c>
      <c r="C6" s="2"/>
      <c r="D6" s="2"/>
      <c r="E6" s="2"/>
      <c r="F6" s="2"/>
      <c r="G6" s="2"/>
      <c r="H6" s="2"/>
      <c r="I6" s="2"/>
      <c r="J6" s="2"/>
      <c r="K6" s="2"/>
      <c r="L6" s="2"/>
      <c r="M6" s="2"/>
      <c r="N6" s="2"/>
      <c r="O6" s="2"/>
      <c r="P6" s="2"/>
      <c r="Q6" s="2"/>
      <c r="R6" s="2"/>
      <c r="S6" s="2"/>
      <c r="T6" s="2"/>
      <c r="U6" s="2"/>
      <c r="V6" s="2"/>
      <c r="W6" s="2"/>
      <c r="X6" s="216"/>
      <c r="Y6" s="216"/>
      <c r="Z6" s="216"/>
      <c r="AA6" s="216"/>
    </row>
    <row r="7" spans="1:27" ht="19.5" customHeight="1" x14ac:dyDescent="0.4">
      <c r="B7" s="215" t="s">
        <v>393</v>
      </c>
    </row>
    <row r="8" spans="1:27" ht="19" customHeight="1" thickBot="1" x14ac:dyDescent="0.45"/>
    <row r="9" spans="1:27" ht="19.5" customHeight="1" x14ac:dyDescent="0.4">
      <c r="B9" s="5"/>
      <c r="C9" s="6" t="s">
        <v>21</v>
      </c>
      <c r="D9" s="221" t="s">
        <v>22</v>
      </c>
      <c r="E9" s="222"/>
      <c r="F9" s="221" t="s">
        <v>23</v>
      </c>
      <c r="G9" s="222"/>
      <c r="H9" s="222"/>
      <c r="I9" s="222"/>
      <c r="J9" s="221" t="s">
        <v>24</v>
      </c>
      <c r="K9" s="222"/>
      <c r="L9" s="222"/>
      <c r="M9" s="221" t="s">
        <v>25</v>
      </c>
      <c r="N9" s="222"/>
      <c r="O9" s="222"/>
      <c r="P9" s="222"/>
      <c r="Q9" s="221" t="s">
        <v>26</v>
      </c>
      <c r="R9" s="222"/>
      <c r="S9" s="222"/>
      <c r="T9" s="221" t="s">
        <v>27</v>
      </c>
      <c r="U9" s="222"/>
      <c r="V9" s="222"/>
      <c r="W9" s="222"/>
      <c r="X9" s="221" t="s">
        <v>28</v>
      </c>
      <c r="Y9" s="222"/>
      <c r="Z9" s="221" t="s">
        <v>29</v>
      </c>
      <c r="AA9" s="223"/>
    </row>
    <row r="10" spans="1:27" s="89" customFormat="1" ht="57" customHeight="1" thickBot="1" x14ac:dyDescent="0.45">
      <c r="A10" s="2"/>
      <c r="B10" s="91"/>
      <c r="C10" s="7" t="e" vm="1">
        <v>#VALUE!</v>
      </c>
      <c r="D10" s="8" t="s">
        <v>30</v>
      </c>
      <c r="E10" s="9" t="s">
        <v>31</v>
      </c>
      <c r="F10" s="10" t="s">
        <v>32</v>
      </c>
      <c r="G10" s="11" t="s">
        <v>33</v>
      </c>
      <c r="H10" s="12" t="s">
        <v>34</v>
      </c>
      <c r="I10" s="9" t="s">
        <v>35</v>
      </c>
      <c r="J10" s="10" t="s">
        <v>36</v>
      </c>
      <c r="K10" s="12" t="s">
        <v>37</v>
      </c>
      <c r="L10" s="9" t="s">
        <v>38</v>
      </c>
      <c r="M10" s="10" t="s">
        <v>39</v>
      </c>
      <c r="N10" s="11" t="s">
        <v>40</v>
      </c>
      <c r="O10" s="12" t="s">
        <v>41</v>
      </c>
      <c r="P10" s="9" t="s">
        <v>42</v>
      </c>
      <c r="Q10" s="10" t="s">
        <v>43</v>
      </c>
      <c r="R10" s="12" t="s">
        <v>44</v>
      </c>
      <c r="S10" s="9" t="s">
        <v>45</v>
      </c>
      <c r="T10" s="34">
        <v>1</v>
      </c>
      <c r="U10" s="35">
        <v>2</v>
      </c>
      <c r="V10" s="36">
        <v>3</v>
      </c>
      <c r="W10" s="9" t="s">
        <v>46</v>
      </c>
      <c r="X10" s="13" t="s">
        <v>409</v>
      </c>
      <c r="Y10" s="9" t="s">
        <v>410</v>
      </c>
      <c r="Z10" s="10" t="s">
        <v>409</v>
      </c>
      <c r="AA10" s="31" t="s">
        <v>410</v>
      </c>
    </row>
    <row r="11" spans="1:27" s="94" customFormat="1" ht="18.75" customHeight="1" x14ac:dyDescent="0.35">
      <c r="A11" s="26"/>
      <c r="B11" s="14" t="s">
        <v>49</v>
      </c>
      <c r="C11" s="26">
        <v>2839</v>
      </c>
      <c r="D11" s="39">
        <v>1644</v>
      </c>
      <c r="E11" s="26">
        <v>1179</v>
      </c>
      <c r="F11" s="40">
        <v>438</v>
      </c>
      <c r="G11" s="41">
        <v>938</v>
      </c>
      <c r="H11" s="42">
        <v>927</v>
      </c>
      <c r="I11" s="26">
        <v>536</v>
      </c>
      <c r="J11" s="40">
        <v>443</v>
      </c>
      <c r="K11" s="42">
        <v>1113</v>
      </c>
      <c r="L11" s="26">
        <v>907</v>
      </c>
      <c r="M11" s="40">
        <v>0</v>
      </c>
      <c r="N11" s="41">
        <v>0</v>
      </c>
      <c r="O11" s="42">
        <v>2839</v>
      </c>
      <c r="P11" s="26">
        <v>0</v>
      </c>
      <c r="Q11" s="40">
        <v>970</v>
      </c>
      <c r="R11" s="42">
        <v>1163</v>
      </c>
      <c r="S11" s="26">
        <v>689</v>
      </c>
      <c r="T11" s="40">
        <v>674</v>
      </c>
      <c r="U11" s="41">
        <v>952</v>
      </c>
      <c r="V11" s="42">
        <v>459</v>
      </c>
      <c r="W11" s="26">
        <v>345</v>
      </c>
      <c r="X11" s="39">
        <v>1871</v>
      </c>
      <c r="Y11" s="26">
        <v>847</v>
      </c>
      <c r="Z11" s="40">
        <v>1227</v>
      </c>
      <c r="AA11" s="43">
        <v>1444</v>
      </c>
    </row>
    <row r="12" spans="1:27" s="94" customFormat="1" ht="18.75" customHeight="1" thickBot="1" x14ac:dyDescent="0.4">
      <c r="A12" s="26"/>
      <c r="B12" s="15" t="s">
        <v>50</v>
      </c>
      <c r="C12" s="44">
        <v>2724</v>
      </c>
      <c r="D12" s="45">
        <v>1646</v>
      </c>
      <c r="E12" s="46">
        <v>1062</v>
      </c>
      <c r="F12" s="45">
        <v>389</v>
      </c>
      <c r="G12" s="47">
        <v>753</v>
      </c>
      <c r="H12" s="47">
        <v>874</v>
      </c>
      <c r="I12" s="46">
        <v>708</v>
      </c>
      <c r="J12" s="45">
        <v>851</v>
      </c>
      <c r="K12" s="47">
        <v>1032</v>
      </c>
      <c r="L12" s="46">
        <v>465</v>
      </c>
      <c r="M12" s="45">
        <v>0</v>
      </c>
      <c r="N12" s="47">
        <v>0</v>
      </c>
      <c r="O12" s="47">
        <v>2724</v>
      </c>
      <c r="P12" s="46">
        <v>0</v>
      </c>
      <c r="Q12" s="45">
        <v>979</v>
      </c>
      <c r="R12" s="47">
        <v>989</v>
      </c>
      <c r="S12" s="46">
        <v>739</v>
      </c>
      <c r="T12" s="45">
        <v>675</v>
      </c>
      <c r="U12" s="47">
        <v>878</v>
      </c>
      <c r="V12" s="47">
        <v>402</v>
      </c>
      <c r="W12" s="46">
        <v>298</v>
      </c>
      <c r="X12" s="45">
        <v>1841</v>
      </c>
      <c r="Y12" s="46">
        <v>754</v>
      </c>
      <c r="Z12" s="45">
        <v>1281</v>
      </c>
      <c r="AA12" s="48">
        <v>1273</v>
      </c>
    </row>
    <row r="13" spans="1:27" s="93" customFormat="1" ht="21" customHeight="1" x14ac:dyDescent="0.35">
      <c r="A13" s="65"/>
      <c r="B13" s="224" t="s">
        <v>394</v>
      </c>
      <c r="C13" s="63">
        <v>261</v>
      </c>
      <c r="D13" s="64">
        <v>182</v>
      </c>
      <c r="E13" s="65">
        <v>78</v>
      </c>
      <c r="F13" s="66">
        <v>26</v>
      </c>
      <c r="G13" s="67">
        <v>73</v>
      </c>
      <c r="H13" s="68">
        <v>78</v>
      </c>
      <c r="I13" s="65">
        <v>84</v>
      </c>
      <c r="J13" s="66">
        <v>78</v>
      </c>
      <c r="K13" s="68">
        <v>106</v>
      </c>
      <c r="L13" s="65">
        <v>48</v>
      </c>
      <c r="M13" s="66">
        <v>0</v>
      </c>
      <c r="N13" s="67">
        <v>0</v>
      </c>
      <c r="O13" s="68">
        <v>261</v>
      </c>
      <c r="P13" s="65">
        <v>0</v>
      </c>
      <c r="Q13" s="66">
        <v>119</v>
      </c>
      <c r="R13" s="68">
        <v>79</v>
      </c>
      <c r="S13" s="65">
        <v>62</v>
      </c>
      <c r="T13" s="66">
        <v>73</v>
      </c>
      <c r="U13" s="67">
        <v>113</v>
      </c>
      <c r="V13" s="68">
        <v>25</v>
      </c>
      <c r="W13" s="65">
        <v>23</v>
      </c>
      <c r="X13" s="64">
        <v>154</v>
      </c>
      <c r="Y13" s="65">
        <v>98</v>
      </c>
      <c r="Z13" s="66">
        <v>119</v>
      </c>
      <c r="AA13" s="69">
        <v>136</v>
      </c>
    </row>
    <row r="14" spans="1:27" s="87" customFormat="1" ht="24" customHeight="1" x14ac:dyDescent="0.35">
      <c r="A14" s="1"/>
      <c r="B14" s="225"/>
      <c r="C14" s="49">
        <v>0.1</v>
      </c>
      <c r="D14" s="50">
        <v>0.11</v>
      </c>
      <c r="E14" s="51">
        <v>7.0000000000000007E-2</v>
      </c>
      <c r="F14" s="50">
        <v>7.0000000000000007E-2</v>
      </c>
      <c r="G14" s="51">
        <v>0.1</v>
      </c>
      <c r="H14" s="51">
        <v>0.09</v>
      </c>
      <c r="I14" s="51">
        <v>0.12</v>
      </c>
      <c r="J14" s="50">
        <v>0.09</v>
      </c>
      <c r="K14" s="51">
        <v>0.1</v>
      </c>
      <c r="L14" s="51">
        <v>0.1</v>
      </c>
      <c r="M14" s="50">
        <v>0</v>
      </c>
      <c r="N14" s="51">
        <v>0</v>
      </c>
      <c r="O14" s="51">
        <v>0.1</v>
      </c>
      <c r="P14" s="51">
        <v>0</v>
      </c>
      <c r="Q14" s="50">
        <v>0.12</v>
      </c>
      <c r="R14" s="51">
        <v>0.08</v>
      </c>
      <c r="S14" s="51">
        <v>0.08</v>
      </c>
      <c r="T14" s="50">
        <v>0.11</v>
      </c>
      <c r="U14" s="51">
        <v>0.13</v>
      </c>
      <c r="V14" s="51">
        <v>0.06</v>
      </c>
      <c r="W14" s="51">
        <v>0.08</v>
      </c>
      <c r="X14" s="50">
        <v>0.08</v>
      </c>
      <c r="Y14" s="51">
        <v>0.13</v>
      </c>
      <c r="Z14" s="50">
        <v>0.09</v>
      </c>
      <c r="AA14" s="52">
        <v>0.11</v>
      </c>
    </row>
    <row r="15" spans="1:27" s="93" customFormat="1" ht="21" customHeight="1" x14ac:dyDescent="0.35">
      <c r="A15" s="65"/>
      <c r="B15" s="228" t="s">
        <v>376</v>
      </c>
      <c r="C15" s="63">
        <v>1868</v>
      </c>
      <c r="D15" s="70">
        <v>1180</v>
      </c>
      <c r="E15" s="65">
        <v>677</v>
      </c>
      <c r="F15" s="71">
        <v>234</v>
      </c>
      <c r="G15" s="72">
        <v>500</v>
      </c>
      <c r="H15" s="73">
        <v>624</v>
      </c>
      <c r="I15" s="65">
        <v>511</v>
      </c>
      <c r="J15" s="71">
        <v>523</v>
      </c>
      <c r="K15" s="73">
        <v>756</v>
      </c>
      <c r="L15" s="65">
        <v>333</v>
      </c>
      <c r="M15" s="71">
        <v>0</v>
      </c>
      <c r="N15" s="72">
        <v>0</v>
      </c>
      <c r="O15" s="73">
        <v>1868</v>
      </c>
      <c r="P15" s="65">
        <v>0</v>
      </c>
      <c r="Q15" s="71">
        <v>656</v>
      </c>
      <c r="R15" s="73">
        <v>684</v>
      </c>
      <c r="S15" s="65">
        <v>526</v>
      </c>
      <c r="T15" s="71">
        <v>465</v>
      </c>
      <c r="U15" s="72">
        <v>621</v>
      </c>
      <c r="V15" s="73">
        <v>288</v>
      </c>
      <c r="W15" s="65">
        <v>214</v>
      </c>
      <c r="X15" s="70">
        <v>1272</v>
      </c>
      <c r="Y15" s="65">
        <v>507</v>
      </c>
      <c r="Z15" s="71">
        <v>874</v>
      </c>
      <c r="AA15" s="74">
        <v>877</v>
      </c>
    </row>
    <row r="16" spans="1:27" s="87" customFormat="1" ht="24" customHeight="1" x14ac:dyDescent="0.35">
      <c r="A16" s="1"/>
      <c r="B16" s="225"/>
      <c r="C16" s="49">
        <v>0.68</v>
      </c>
      <c r="D16" s="50">
        <v>0.72</v>
      </c>
      <c r="E16" s="51">
        <v>0.6399999999999999</v>
      </c>
      <c r="F16" s="50">
        <v>0.60000000000000009</v>
      </c>
      <c r="G16" s="51">
        <v>0.66</v>
      </c>
      <c r="H16" s="51">
        <v>0.71000000000000008</v>
      </c>
      <c r="I16" s="51">
        <v>0.72</v>
      </c>
      <c r="J16" s="50">
        <v>0.62</v>
      </c>
      <c r="K16" s="51">
        <v>0.73</v>
      </c>
      <c r="L16" s="51">
        <v>0.72</v>
      </c>
      <c r="M16" s="50">
        <v>0</v>
      </c>
      <c r="N16" s="51">
        <v>0</v>
      </c>
      <c r="O16" s="51">
        <v>0.68</v>
      </c>
      <c r="P16" s="51">
        <v>0</v>
      </c>
      <c r="Q16" s="50">
        <v>0.67</v>
      </c>
      <c r="R16" s="51">
        <v>0.69000000000000006</v>
      </c>
      <c r="S16" s="51">
        <v>0.72000000000000008</v>
      </c>
      <c r="T16" s="50">
        <v>0.69000000000000006</v>
      </c>
      <c r="U16" s="51">
        <v>0.71</v>
      </c>
      <c r="V16" s="51">
        <v>0.72</v>
      </c>
      <c r="W16" s="51">
        <v>0.71000000000000008</v>
      </c>
      <c r="X16" s="50">
        <v>0.69000000000000006</v>
      </c>
      <c r="Y16" s="51">
        <v>0.67</v>
      </c>
      <c r="Z16" s="50">
        <v>0.68</v>
      </c>
      <c r="AA16" s="52">
        <v>0.69000000000000006</v>
      </c>
    </row>
    <row r="17" spans="1:27" s="93" customFormat="1" ht="21" customHeight="1" x14ac:dyDescent="0.35">
      <c r="A17" s="65"/>
      <c r="B17" s="228" t="s">
        <v>395</v>
      </c>
      <c r="C17" s="63">
        <v>470</v>
      </c>
      <c r="D17" s="70">
        <v>222</v>
      </c>
      <c r="E17" s="65">
        <v>245</v>
      </c>
      <c r="F17" s="71">
        <v>91</v>
      </c>
      <c r="G17" s="72">
        <v>148</v>
      </c>
      <c r="H17" s="73">
        <v>147</v>
      </c>
      <c r="I17" s="65">
        <v>84</v>
      </c>
      <c r="J17" s="71">
        <v>215</v>
      </c>
      <c r="K17" s="73">
        <v>133</v>
      </c>
      <c r="L17" s="65">
        <v>66</v>
      </c>
      <c r="M17" s="71">
        <v>0</v>
      </c>
      <c r="N17" s="72">
        <v>0</v>
      </c>
      <c r="O17" s="73">
        <v>470</v>
      </c>
      <c r="P17" s="65">
        <v>0</v>
      </c>
      <c r="Q17" s="71">
        <v>151</v>
      </c>
      <c r="R17" s="73">
        <v>193</v>
      </c>
      <c r="S17" s="65">
        <v>123</v>
      </c>
      <c r="T17" s="71">
        <v>113</v>
      </c>
      <c r="U17" s="72">
        <v>121</v>
      </c>
      <c r="V17" s="73">
        <v>79</v>
      </c>
      <c r="W17" s="65">
        <v>38</v>
      </c>
      <c r="X17" s="70">
        <v>330</v>
      </c>
      <c r="Y17" s="65">
        <v>118</v>
      </c>
      <c r="Z17" s="71">
        <v>227</v>
      </c>
      <c r="AA17" s="74">
        <v>207</v>
      </c>
    </row>
    <row r="18" spans="1:27" s="87" customFormat="1" ht="24" customHeight="1" x14ac:dyDescent="0.35">
      <c r="A18" s="1"/>
      <c r="B18" s="225"/>
      <c r="C18" s="49">
        <v>0.16999999999999993</v>
      </c>
      <c r="D18" s="50">
        <v>0.13</v>
      </c>
      <c r="E18" s="51">
        <v>0.22999999999999998</v>
      </c>
      <c r="F18" s="50">
        <v>0.22999999999999998</v>
      </c>
      <c r="G18" s="51">
        <v>0.19999999999999996</v>
      </c>
      <c r="H18" s="51">
        <v>0.16999999999999993</v>
      </c>
      <c r="I18" s="51">
        <v>0.12</v>
      </c>
      <c r="J18" s="50">
        <v>0.25</v>
      </c>
      <c r="K18" s="51">
        <v>0.13</v>
      </c>
      <c r="L18" s="51">
        <v>0.14000000000000001</v>
      </c>
      <c r="M18" s="50">
        <v>0</v>
      </c>
      <c r="N18" s="51">
        <v>0</v>
      </c>
      <c r="O18" s="51">
        <v>0.16999999999999993</v>
      </c>
      <c r="P18" s="51">
        <v>0</v>
      </c>
      <c r="Q18" s="50">
        <v>0.15999999999999992</v>
      </c>
      <c r="R18" s="51">
        <v>0.19999999999999996</v>
      </c>
      <c r="S18" s="51">
        <v>0.15999999999999992</v>
      </c>
      <c r="T18" s="50">
        <v>0.15999999999999992</v>
      </c>
      <c r="U18" s="51">
        <v>0.13</v>
      </c>
      <c r="V18" s="51">
        <v>0.19999999999999996</v>
      </c>
      <c r="W18" s="51">
        <v>0.13</v>
      </c>
      <c r="X18" s="50">
        <v>0.17999999999999994</v>
      </c>
      <c r="Y18" s="51">
        <v>0.15999999999999992</v>
      </c>
      <c r="Z18" s="50">
        <v>0.17999999999999994</v>
      </c>
      <c r="AA18" s="52">
        <v>0.15999999999999992</v>
      </c>
    </row>
    <row r="19" spans="1:27" s="93" customFormat="1" ht="21" customHeight="1" x14ac:dyDescent="0.35">
      <c r="A19" s="65"/>
      <c r="B19" s="228" t="s">
        <v>81</v>
      </c>
      <c r="C19" s="63">
        <v>122</v>
      </c>
      <c r="D19" s="70">
        <v>60</v>
      </c>
      <c r="E19" s="65">
        <v>60</v>
      </c>
      <c r="F19" s="71">
        <v>38</v>
      </c>
      <c r="G19" s="72">
        <v>32</v>
      </c>
      <c r="H19" s="73">
        <v>24</v>
      </c>
      <c r="I19" s="65">
        <v>28</v>
      </c>
      <c r="J19" s="71">
        <v>34</v>
      </c>
      <c r="K19" s="73">
        <v>38</v>
      </c>
      <c r="L19" s="65">
        <v>17</v>
      </c>
      <c r="M19" s="71">
        <v>0</v>
      </c>
      <c r="N19" s="72">
        <v>0</v>
      </c>
      <c r="O19" s="73">
        <v>122</v>
      </c>
      <c r="P19" s="65">
        <v>0</v>
      </c>
      <c r="Q19" s="71">
        <v>52</v>
      </c>
      <c r="R19" s="73">
        <v>34</v>
      </c>
      <c r="S19" s="65">
        <v>26</v>
      </c>
      <c r="T19" s="71">
        <v>25</v>
      </c>
      <c r="U19" s="72">
        <v>22</v>
      </c>
      <c r="V19" s="73">
        <v>9</v>
      </c>
      <c r="W19" s="65">
        <v>22</v>
      </c>
      <c r="X19" s="70">
        <v>83</v>
      </c>
      <c r="Y19" s="65">
        <v>30</v>
      </c>
      <c r="Z19" s="71">
        <v>59</v>
      </c>
      <c r="AA19" s="74">
        <v>51</v>
      </c>
    </row>
    <row r="20" spans="1:27" s="87" customFormat="1" ht="24" customHeight="1" x14ac:dyDescent="0.35">
      <c r="A20" s="1"/>
      <c r="B20" s="225"/>
      <c r="C20" s="49">
        <v>5.0000000000000044E-2</v>
      </c>
      <c r="D20" s="50">
        <v>4.0000000000000036E-2</v>
      </c>
      <c r="E20" s="51">
        <v>6.0000000000000053E-2</v>
      </c>
      <c r="F20" s="50">
        <v>9.9999999999999978E-2</v>
      </c>
      <c r="G20" s="51">
        <v>4.0000000000000036E-2</v>
      </c>
      <c r="H20" s="51">
        <v>3.0000000000000027E-2</v>
      </c>
      <c r="I20" s="51">
        <v>4.0000000000000036E-2</v>
      </c>
      <c r="J20" s="50">
        <v>4.0000000000000036E-2</v>
      </c>
      <c r="K20" s="51">
        <v>4.0000000000000036E-2</v>
      </c>
      <c r="L20" s="51">
        <v>4.0000000000000036E-2</v>
      </c>
      <c r="M20" s="50">
        <v>0</v>
      </c>
      <c r="N20" s="51">
        <v>0</v>
      </c>
      <c r="O20" s="51">
        <v>5.0000000000000044E-2</v>
      </c>
      <c r="P20" s="51">
        <v>0</v>
      </c>
      <c r="Q20" s="50">
        <v>5.0000000000000044E-2</v>
      </c>
      <c r="R20" s="51">
        <v>3.0000000000000027E-2</v>
      </c>
      <c r="S20" s="51">
        <v>4.0000000000000036E-2</v>
      </c>
      <c r="T20" s="50">
        <v>4.0000000000000036E-2</v>
      </c>
      <c r="U20" s="51">
        <v>3.0000000000000027E-2</v>
      </c>
      <c r="V20" s="51">
        <v>2.0000000000000018E-2</v>
      </c>
      <c r="W20" s="51">
        <v>6.9999999999999951E-2</v>
      </c>
      <c r="X20" s="50">
        <v>5.0000000000000044E-2</v>
      </c>
      <c r="Y20" s="51">
        <v>4.0000000000000036E-2</v>
      </c>
      <c r="Z20" s="50">
        <v>5.0000000000000044E-2</v>
      </c>
      <c r="AA20" s="52">
        <v>4.0000000000000036E-2</v>
      </c>
    </row>
    <row r="21" spans="1:27" s="93" customFormat="1" ht="21" customHeight="1" x14ac:dyDescent="0.35">
      <c r="A21" s="65"/>
      <c r="B21" s="232" t="s">
        <v>93</v>
      </c>
      <c r="C21" s="63">
        <v>4</v>
      </c>
      <c r="D21" s="70">
        <v>2</v>
      </c>
      <c r="E21" s="65">
        <v>2</v>
      </c>
      <c r="F21" s="71">
        <v>0</v>
      </c>
      <c r="G21" s="72">
        <v>1</v>
      </c>
      <c r="H21" s="73">
        <v>2</v>
      </c>
      <c r="I21" s="65">
        <v>1</v>
      </c>
      <c r="J21" s="71">
        <v>1</v>
      </c>
      <c r="K21" s="73">
        <v>0</v>
      </c>
      <c r="L21" s="65">
        <v>1</v>
      </c>
      <c r="M21" s="71">
        <v>0</v>
      </c>
      <c r="N21" s="72">
        <v>0</v>
      </c>
      <c r="O21" s="73">
        <v>4</v>
      </c>
      <c r="P21" s="65">
        <v>0</v>
      </c>
      <c r="Q21" s="71">
        <v>1</v>
      </c>
      <c r="R21" s="73">
        <v>0</v>
      </c>
      <c r="S21" s="65">
        <v>1</v>
      </c>
      <c r="T21" s="71">
        <v>0</v>
      </c>
      <c r="U21" s="72">
        <v>1</v>
      </c>
      <c r="V21" s="73">
        <v>0</v>
      </c>
      <c r="W21" s="65">
        <v>2</v>
      </c>
      <c r="X21" s="70">
        <v>2</v>
      </c>
      <c r="Y21" s="65">
        <v>2</v>
      </c>
      <c r="Z21" s="71">
        <v>2</v>
      </c>
      <c r="AA21" s="74">
        <v>2</v>
      </c>
    </row>
    <row r="22" spans="1:27" s="87" customFormat="1" ht="24" customHeight="1" thickBot="1" x14ac:dyDescent="0.4">
      <c r="A22" s="1"/>
      <c r="B22" s="233"/>
      <c r="C22" s="59">
        <v>0</v>
      </c>
      <c r="D22" s="60">
        <v>0</v>
      </c>
      <c r="E22" s="61">
        <v>0</v>
      </c>
      <c r="F22" s="60">
        <v>0</v>
      </c>
      <c r="G22" s="61">
        <v>0</v>
      </c>
      <c r="H22" s="61">
        <v>0</v>
      </c>
      <c r="I22" s="61">
        <v>0</v>
      </c>
      <c r="J22" s="60">
        <v>0</v>
      </c>
      <c r="K22" s="61">
        <v>0</v>
      </c>
      <c r="L22" s="61">
        <v>0</v>
      </c>
      <c r="M22" s="60">
        <v>0</v>
      </c>
      <c r="N22" s="61">
        <v>0</v>
      </c>
      <c r="O22" s="61">
        <v>0</v>
      </c>
      <c r="P22" s="61">
        <v>0</v>
      </c>
      <c r="Q22" s="60">
        <v>0</v>
      </c>
      <c r="R22" s="61">
        <v>0</v>
      </c>
      <c r="S22" s="61">
        <v>0</v>
      </c>
      <c r="T22" s="60">
        <v>0</v>
      </c>
      <c r="U22" s="61">
        <v>0</v>
      </c>
      <c r="V22" s="61">
        <v>0</v>
      </c>
      <c r="W22" s="61">
        <v>1.0000000000000009E-2</v>
      </c>
      <c r="X22" s="60">
        <v>0</v>
      </c>
      <c r="Y22" s="61">
        <v>0</v>
      </c>
      <c r="Z22" s="60">
        <v>0</v>
      </c>
      <c r="AA22" s="62">
        <v>0</v>
      </c>
    </row>
    <row r="23" spans="1:27" s="93" customFormat="1" ht="21" customHeight="1" x14ac:dyDescent="0.35">
      <c r="A23" s="65"/>
      <c r="B23" s="3"/>
      <c r="C23" s="63"/>
      <c r="D23" s="65"/>
      <c r="E23" s="65"/>
      <c r="F23" s="65"/>
      <c r="G23" s="65"/>
      <c r="H23" s="65"/>
      <c r="I23" s="65"/>
      <c r="J23" s="65"/>
      <c r="K23" s="65"/>
      <c r="L23" s="65"/>
      <c r="M23" s="65"/>
      <c r="N23" s="65"/>
      <c r="O23" s="65"/>
      <c r="P23" s="65"/>
      <c r="Q23" s="65"/>
      <c r="R23" s="65"/>
      <c r="S23" s="65"/>
      <c r="T23" s="65"/>
      <c r="U23" s="65"/>
      <c r="V23" s="65"/>
      <c r="W23" s="65"/>
      <c r="X23" s="65"/>
      <c r="Y23" s="65"/>
      <c r="Z23" s="65"/>
      <c r="AA23" s="65"/>
    </row>
    <row r="24" spans="1:27" s="87" customFormat="1" ht="24" customHeight="1" x14ac:dyDescent="0.35">
      <c r="A24" s="1"/>
      <c r="B24" s="3"/>
      <c r="C24" s="2"/>
      <c r="D24" s="1"/>
      <c r="E24" s="1"/>
      <c r="F24" s="1"/>
      <c r="G24" s="1"/>
      <c r="H24" s="1"/>
      <c r="I24" s="1"/>
      <c r="J24" s="1"/>
      <c r="K24" s="1"/>
      <c r="L24" s="1"/>
      <c r="M24" s="1"/>
      <c r="N24" s="1"/>
      <c r="O24" s="1"/>
      <c r="P24" s="1"/>
      <c r="Q24" s="1"/>
      <c r="R24" s="1"/>
      <c r="S24" s="1"/>
      <c r="T24" s="1"/>
      <c r="U24" s="1"/>
      <c r="V24" s="1"/>
      <c r="W24" s="1"/>
      <c r="X24" s="1"/>
      <c r="Y24" s="1"/>
      <c r="Z24" s="1"/>
      <c r="AA24" s="1"/>
    </row>
    <row r="25" spans="1:27" s="93" customFormat="1" ht="21" customHeight="1" x14ac:dyDescent="0.35">
      <c r="A25" s="65"/>
      <c r="B25" s="3"/>
      <c r="C25" s="63"/>
      <c r="D25" s="65"/>
      <c r="E25" s="65"/>
      <c r="F25" s="65"/>
      <c r="G25" s="65"/>
      <c r="H25" s="65"/>
      <c r="I25" s="65"/>
      <c r="J25" s="65"/>
      <c r="K25" s="65"/>
      <c r="L25" s="65"/>
      <c r="M25" s="65"/>
      <c r="N25" s="65"/>
      <c r="O25" s="65"/>
      <c r="P25" s="65"/>
      <c r="Q25" s="65"/>
      <c r="R25" s="65"/>
      <c r="S25" s="65"/>
      <c r="T25" s="65"/>
      <c r="U25" s="65"/>
      <c r="V25" s="65"/>
      <c r="W25" s="65"/>
      <c r="X25" s="65"/>
      <c r="Y25" s="65"/>
      <c r="Z25" s="65"/>
      <c r="AA25" s="65"/>
    </row>
    <row r="26" spans="1:27" s="87" customFormat="1" ht="24" customHeight="1" x14ac:dyDescent="0.35">
      <c r="A26" s="1"/>
      <c r="B26" s="3"/>
      <c r="C26" s="2"/>
      <c r="D26" s="1"/>
      <c r="E26" s="1"/>
      <c r="F26" s="1"/>
      <c r="G26" s="1"/>
      <c r="H26" s="1"/>
      <c r="I26" s="1"/>
      <c r="J26" s="1"/>
      <c r="K26" s="1"/>
      <c r="L26" s="1"/>
      <c r="M26" s="1"/>
      <c r="N26" s="1"/>
      <c r="O26" s="1"/>
      <c r="P26" s="1"/>
      <c r="Q26" s="1"/>
      <c r="R26" s="1"/>
      <c r="S26" s="1"/>
      <c r="T26" s="1"/>
      <c r="U26" s="1"/>
      <c r="V26" s="1"/>
      <c r="W26" s="1"/>
      <c r="X26" s="1"/>
      <c r="Y26" s="1"/>
      <c r="Z26" s="1"/>
      <c r="AA26" s="1"/>
    </row>
    <row r="27" spans="1:27" x14ac:dyDescent="0.4"/>
    <row r="28" spans="1:27" ht="24" customHeight="1" x14ac:dyDescent="0.4"/>
    <row r="29" spans="1:27" x14ac:dyDescent="0.4">
      <c r="B29" s="1"/>
    </row>
    <row r="30" spans="1:27" ht="24" customHeight="1" x14ac:dyDescent="0.4"/>
    <row r="31" spans="1:27" x14ac:dyDescent="0.4"/>
    <row r="32" spans="1:27" ht="24" customHeight="1" x14ac:dyDescent="0.4"/>
    <row r="33" x14ac:dyDescent="0.4"/>
    <row r="34" ht="24" customHeight="1" x14ac:dyDescent="0.4"/>
    <row r="35" x14ac:dyDescent="0.4"/>
  </sheetData>
  <mergeCells count="13">
    <mergeCell ref="B15:B16"/>
    <mergeCell ref="B17:B18"/>
    <mergeCell ref="B19:B20"/>
    <mergeCell ref="B21:B22"/>
    <mergeCell ref="T9:W9"/>
    <mergeCell ref="X9:Y9"/>
    <mergeCell ref="Z9:AA9"/>
    <mergeCell ref="B13:B14"/>
    <mergeCell ref="D9:E9"/>
    <mergeCell ref="F9:I9"/>
    <mergeCell ref="J9:L9"/>
    <mergeCell ref="M9:P9"/>
    <mergeCell ref="Q9:S9"/>
  </mergeCells>
  <hyperlinks>
    <hyperlink ref="B1" location="'Table of Contents'!A1" display="Home" xr:uid="{7ACD29CA-B81E-4542-B0DC-22B940B724A8}"/>
  </hyperlinks>
  <pageMargins left="0.7" right="0.7" top="0.75" bottom="0.75" header="0.511811023622047" footer="0.511811023622047"/>
  <pageSetup paperSize="9" orientation="portrait" useFirstPageNumber="1"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Feuil26"/>
  <dimension ref="A1:AA31"/>
  <sheetViews>
    <sheetView showGridLines="0" zoomScale="60" zoomScaleNormal="60" workbookViewId="0"/>
  </sheetViews>
  <sheetFormatPr defaultColWidth="20.6328125" defaultRowHeight="19" customHeight="1" x14ac:dyDescent="0.4"/>
  <cols>
    <col min="1" max="1" width="8.81640625" style="101" customWidth="1"/>
    <col min="2" max="2" width="100.6328125" style="3" customWidth="1"/>
    <col min="3" max="3" width="20.6328125" style="2"/>
    <col min="4" max="23" width="20.6328125" style="1"/>
    <col min="24" max="27" width="20.6328125" style="101"/>
    <col min="28" max="16384" width="20.6328125" style="102"/>
  </cols>
  <sheetData>
    <row r="1" spans="1:27" x14ac:dyDescent="0.4">
      <c r="B1" s="37" t="s">
        <v>0</v>
      </c>
    </row>
    <row r="2" spans="1:27" x14ac:dyDescent="0.4">
      <c r="B2" s="3" t="s">
        <v>442</v>
      </c>
    </row>
    <row r="3" spans="1:27" x14ac:dyDescent="0.4">
      <c r="B3" s="3" t="s">
        <v>1</v>
      </c>
      <c r="D3" s="2"/>
      <c r="E3" s="2"/>
      <c r="F3" s="2"/>
      <c r="G3" s="2"/>
      <c r="H3" s="2"/>
      <c r="I3" s="2"/>
      <c r="J3" s="2"/>
      <c r="K3" s="2"/>
      <c r="L3" s="2"/>
      <c r="M3" s="2"/>
      <c r="N3" s="2"/>
      <c r="O3" s="2"/>
      <c r="P3" s="2"/>
      <c r="Q3" s="2"/>
      <c r="R3" s="2"/>
      <c r="S3" s="2"/>
      <c r="T3" s="2"/>
      <c r="U3" s="2"/>
      <c r="V3" s="2"/>
      <c r="W3" s="2"/>
    </row>
    <row r="4" spans="1:27" x14ac:dyDescent="0.4">
      <c r="B4" s="3" t="s">
        <v>2</v>
      </c>
    </row>
    <row r="6" spans="1:27" s="217" customFormat="1" ht="19" customHeight="1" x14ac:dyDescent="0.5">
      <c r="A6" s="216"/>
      <c r="B6" s="28" t="s">
        <v>396</v>
      </c>
      <c r="C6" s="2"/>
      <c r="D6" s="2"/>
      <c r="E6" s="2"/>
      <c r="F6" s="2"/>
      <c r="G6" s="2"/>
      <c r="H6" s="2"/>
      <c r="I6" s="2"/>
      <c r="J6" s="2"/>
      <c r="K6" s="2"/>
      <c r="L6" s="2"/>
      <c r="M6" s="2"/>
      <c r="N6" s="2"/>
      <c r="O6" s="2"/>
      <c r="P6" s="2"/>
      <c r="Q6" s="2"/>
      <c r="R6" s="2"/>
      <c r="S6" s="2"/>
      <c r="T6" s="2"/>
      <c r="U6" s="2"/>
      <c r="V6" s="2"/>
      <c r="W6" s="2"/>
      <c r="X6" s="216"/>
      <c r="Y6" s="216"/>
      <c r="Z6" s="216"/>
      <c r="AA6" s="216"/>
    </row>
    <row r="7" spans="1:27" ht="19.5" customHeight="1" x14ac:dyDescent="0.4">
      <c r="B7" s="215" t="s">
        <v>397</v>
      </c>
    </row>
    <row r="8" spans="1:27" ht="19" customHeight="1" thickBot="1" x14ac:dyDescent="0.45"/>
    <row r="9" spans="1:27" ht="19.5" customHeight="1" x14ac:dyDescent="0.4">
      <c r="B9" s="5"/>
      <c r="C9" s="6" t="s">
        <v>21</v>
      </c>
      <c r="D9" s="221" t="s">
        <v>22</v>
      </c>
      <c r="E9" s="222"/>
      <c r="F9" s="221" t="s">
        <v>23</v>
      </c>
      <c r="G9" s="222"/>
      <c r="H9" s="222"/>
      <c r="I9" s="222"/>
      <c r="J9" s="221" t="s">
        <v>24</v>
      </c>
      <c r="K9" s="222"/>
      <c r="L9" s="222"/>
      <c r="M9" s="221" t="s">
        <v>25</v>
      </c>
      <c r="N9" s="222"/>
      <c r="O9" s="222"/>
      <c r="P9" s="222"/>
      <c r="Q9" s="221" t="s">
        <v>26</v>
      </c>
      <c r="R9" s="222"/>
      <c r="S9" s="222"/>
      <c r="T9" s="221" t="s">
        <v>27</v>
      </c>
      <c r="U9" s="222"/>
      <c r="V9" s="222"/>
      <c r="W9" s="222"/>
      <c r="X9" s="221" t="s">
        <v>28</v>
      </c>
      <c r="Y9" s="222"/>
      <c r="Z9" s="221" t="s">
        <v>29</v>
      </c>
      <c r="AA9" s="223"/>
    </row>
    <row r="10" spans="1:27" s="89" customFormat="1" ht="57" customHeight="1" thickBot="1" x14ac:dyDescent="0.45">
      <c r="A10" s="2"/>
      <c r="B10" s="91"/>
      <c r="C10" s="7" t="e" vm="1">
        <v>#VALUE!</v>
      </c>
      <c r="D10" s="8" t="s">
        <v>30</v>
      </c>
      <c r="E10" s="9" t="s">
        <v>31</v>
      </c>
      <c r="F10" s="10" t="s">
        <v>32</v>
      </c>
      <c r="G10" s="11" t="s">
        <v>33</v>
      </c>
      <c r="H10" s="12" t="s">
        <v>34</v>
      </c>
      <c r="I10" s="9" t="s">
        <v>35</v>
      </c>
      <c r="J10" s="10" t="s">
        <v>36</v>
      </c>
      <c r="K10" s="12" t="s">
        <v>37</v>
      </c>
      <c r="L10" s="9" t="s">
        <v>38</v>
      </c>
      <c r="M10" s="10" t="s">
        <v>39</v>
      </c>
      <c r="N10" s="11" t="s">
        <v>40</v>
      </c>
      <c r="O10" s="12" t="s">
        <v>41</v>
      </c>
      <c r="P10" s="9" t="s">
        <v>42</v>
      </c>
      <c r="Q10" s="10" t="s">
        <v>43</v>
      </c>
      <c r="R10" s="12" t="s">
        <v>44</v>
      </c>
      <c r="S10" s="9" t="s">
        <v>45</v>
      </c>
      <c r="T10" s="34">
        <v>1</v>
      </c>
      <c r="U10" s="35">
        <v>2</v>
      </c>
      <c r="V10" s="36">
        <v>3</v>
      </c>
      <c r="W10" s="9" t="s">
        <v>46</v>
      </c>
      <c r="X10" s="13" t="s">
        <v>409</v>
      </c>
      <c r="Y10" s="9" t="s">
        <v>410</v>
      </c>
      <c r="Z10" s="10" t="s">
        <v>409</v>
      </c>
      <c r="AA10" s="31" t="s">
        <v>410</v>
      </c>
    </row>
    <row r="11" spans="1:27" s="94" customFormat="1" ht="18.75" customHeight="1" x14ac:dyDescent="0.35">
      <c r="A11" s="26"/>
      <c r="B11" s="14" t="s">
        <v>49</v>
      </c>
      <c r="C11" s="26">
        <v>6900</v>
      </c>
      <c r="D11" s="39">
        <v>2933</v>
      </c>
      <c r="E11" s="26">
        <v>3935</v>
      </c>
      <c r="F11" s="40">
        <v>1209</v>
      </c>
      <c r="G11" s="41">
        <v>811</v>
      </c>
      <c r="H11" s="42">
        <v>887</v>
      </c>
      <c r="I11" s="26">
        <v>3993</v>
      </c>
      <c r="J11" s="40">
        <v>831</v>
      </c>
      <c r="K11" s="42">
        <v>3001</v>
      </c>
      <c r="L11" s="26">
        <v>2342</v>
      </c>
      <c r="M11" s="40">
        <v>0</v>
      </c>
      <c r="N11" s="41">
        <v>0</v>
      </c>
      <c r="O11" s="42">
        <v>0</v>
      </c>
      <c r="P11" s="26">
        <v>6900</v>
      </c>
      <c r="Q11" s="40">
        <v>2314</v>
      </c>
      <c r="R11" s="42">
        <v>2716</v>
      </c>
      <c r="S11" s="26">
        <v>1836</v>
      </c>
      <c r="T11" s="40">
        <v>1945</v>
      </c>
      <c r="U11" s="41">
        <v>2655</v>
      </c>
      <c r="V11" s="42">
        <v>874</v>
      </c>
      <c r="W11" s="26">
        <v>743</v>
      </c>
      <c r="X11" s="39">
        <v>4299</v>
      </c>
      <c r="Y11" s="26">
        <v>2230</v>
      </c>
      <c r="Z11" s="40">
        <v>2468</v>
      </c>
      <c r="AA11" s="43">
        <v>3913</v>
      </c>
    </row>
    <row r="12" spans="1:27" s="94" customFormat="1" ht="18.75" customHeight="1" thickBot="1" x14ac:dyDescent="0.4">
      <c r="A12" s="26"/>
      <c r="B12" s="15" t="s">
        <v>50</v>
      </c>
      <c r="C12" s="44">
        <v>8517</v>
      </c>
      <c r="D12" s="45">
        <v>3510</v>
      </c>
      <c r="E12" s="46">
        <v>4975</v>
      </c>
      <c r="F12" s="45">
        <v>1094</v>
      </c>
      <c r="G12" s="47">
        <v>754</v>
      </c>
      <c r="H12" s="47">
        <v>936</v>
      </c>
      <c r="I12" s="46">
        <v>5733</v>
      </c>
      <c r="J12" s="45">
        <v>2163</v>
      </c>
      <c r="K12" s="47">
        <v>3969</v>
      </c>
      <c r="L12" s="46">
        <v>1660</v>
      </c>
      <c r="M12" s="45">
        <v>0</v>
      </c>
      <c r="N12" s="47">
        <v>0</v>
      </c>
      <c r="O12" s="47">
        <v>0</v>
      </c>
      <c r="P12" s="46">
        <v>8517</v>
      </c>
      <c r="Q12" s="45">
        <v>3129</v>
      </c>
      <c r="R12" s="47">
        <v>2997</v>
      </c>
      <c r="S12" s="46">
        <v>2358</v>
      </c>
      <c r="T12" s="45">
        <v>2587</v>
      </c>
      <c r="U12" s="47">
        <v>3310</v>
      </c>
      <c r="V12" s="47">
        <v>968</v>
      </c>
      <c r="W12" s="46">
        <v>674</v>
      </c>
      <c r="X12" s="45">
        <v>5760</v>
      </c>
      <c r="Y12" s="46">
        <v>2296</v>
      </c>
      <c r="Z12" s="45">
        <v>3273</v>
      </c>
      <c r="AA12" s="48">
        <v>4520</v>
      </c>
    </row>
    <row r="13" spans="1:27" s="93" customFormat="1" ht="21" customHeight="1" x14ac:dyDescent="0.35">
      <c r="A13" s="65"/>
      <c r="B13" s="224" t="s">
        <v>398</v>
      </c>
      <c r="C13" s="63">
        <v>1269</v>
      </c>
      <c r="D13" s="64">
        <v>144</v>
      </c>
      <c r="E13" s="65">
        <v>1124</v>
      </c>
      <c r="F13" s="66">
        <v>94</v>
      </c>
      <c r="G13" s="67">
        <v>239</v>
      </c>
      <c r="H13" s="68">
        <v>369</v>
      </c>
      <c r="I13" s="65">
        <v>568</v>
      </c>
      <c r="J13" s="66">
        <v>390</v>
      </c>
      <c r="K13" s="68">
        <v>578</v>
      </c>
      <c r="L13" s="65">
        <v>171</v>
      </c>
      <c r="M13" s="66">
        <v>0</v>
      </c>
      <c r="N13" s="67">
        <v>0</v>
      </c>
      <c r="O13" s="68">
        <v>0</v>
      </c>
      <c r="P13" s="65">
        <v>1269</v>
      </c>
      <c r="Q13" s="66">
        <v>397</v>
      </c>
      <c r="R13" s="68">
        <v>473</v>
      </c>
      <c r="S13" s="65">
        <v>393</v>
      </c>
      <c r="T13" s="66">
        <v>221</v>
      </c>
      <c r="U13" s="67">
        <v>499</v>
      </c>
      <c r="V13" s="68">
        <v>215</v>
      </c>
      <c r="W13" s="65">
        <v>156</v>
      </c>
      <c r="X13" s="64">
        <v>891</v>
      </c>
      <c r="Y13" s="65">
        <v>280</v>
      </c>
      <c r="Z13" s="66">
        <v>563</v>
      </c>
      <c r="AA13" s="69">
        <v>551</v>
      </c>
    </row>
    <row r="14" spans="1:27" s="87" customFormat="1" ht="24" customHeight="1" x14ac:dyDescent="0.35">
      <c r="A14" s="1"/>
      <c r="B14" s="225"/>
      <c r="C14" s="49">
        <v>0.15</v>
      </c>
      <c r="D14" s="50">
        <v>0.04</v>
      </c>
      <c r="E14" s="51">
        <v>0.23</v>
      </c>
      <c r="F14" s="50">
        <v>0.09</v>
      </c>
      <c r="G14" s="51">
        <v>0.32</v>
      </c>
      <c r="H14" s="51">
        <v>0.39</v>
      </c>
      <c r="I14" s="51">
        <v>0.1</v>
      </c>
      <c r="J14" s="50">
        <v>0.18</v>
      </c>
      <c r="K14" s="51">
        <v>0.15</v>
      </c>
      <c r="L14" s="51">
        <v>0.1</v>
      </c>
      <c r="M14" s="50">
        <v>0</v>
      </c>
      <c r="N14" s="51">
        <v>0</v>
      </c>
      <c r="O14" s="51">
        <v>0</v>
      </c>
      <c r="P14" s="51">
        <v>0.15</v>
      </c>
      <c r="Q14" s="50">
        <v>0.13</v>
      </c>
      <c r="R14" s="51">
        <v>0.16</v>
      </c>
      <c r="S14" s="51">
        <v>0.17</v>
      </c>
      <c r="T14" s="50">
        <v>0.09</v>
      </c>
      <c r="U14" s="51">
        <v>0.15</v>
      </c>
      <c r="V14" s="51">
        <v>0.22</v>
      </c>
      <c r="W14" s="51">
        <v>0.23</v>
      </c>
      <c r="X14" s="50">
        <v>0.15</v>
      </c>
      <c r="Y14" s="51">
        <v>0.12</v>
      </c>
      <c r="Z14" s="50">
        <v>0.17</v>
      </c>
      <c r="AA14" s="52">
        <v>0.12</v>
      </c>
    </row>
    <row r="15" spans="1:27" s="93" customFormat="1" ht="21" customHeight="1" x14ac:dyDescent="0.35">
      <c r="A15" s="65"/>
      <c r="B15" s="228" t="s">
        <v>399</v>
      </c>
      <c r="C15" s="63">
        <v>816</v>
      </c>
      <c r="D15" s="70">
        <v>353</v>
      </c>
      <c r="E15" s="65">
        <v>452</v>
      </c>
      <c r="F15" s="71">
        <v>739</v>
      </c>
      <c r="G15" s="72">
        <v>71</v>
      </c>
      <c r="H15" s="73">
        <v>4</v>
      </c>
      <c r="I15" s="65">
        <v>2</v>
      </c>
      <c r="J15" s="71">
        <v>63</v>
      </c>
      <c r="K15" s="73">
        <v>421</v>
      </c>
      <c r="L15" s="65">
        <v>295</v>
      </c>
      <c r="M15" s="71">
        <v>0</v>
      </c>
      <c r="N15" s="72">
        <v>0</v>
      </c>
      <c r="O15" s="73">
        <v>0</v>
      </c>
      <c r="P15" s="65">
        <v>816</v>
      </c>
      <c r="Q15" s="71">
        <v>361</v>
      </c>
      <c r="R15" s="73">
        <v>278</v>
      </c>
      <c r="S15" s="65">
        <v>173</v>
      </c>
      <c r="T15" s="71">
        <v>142</v>
      </c>
      <c r="U15" s="72">
        <v>102</v>
      </c>
      <c r="V15" s="73">
        <v>173</v>
      </c>
      <c r="W15" s="65">
        <v>200</v>
      </c>
      <c r="X15" s="70">
        <v>531</v>
      </c>
      <c r="Y15" s="65">
        <v>239</v>
      </c>
      <c r="Z15" s="71">
        <v>302</v>
      </c>
      <c r="AA15" s="74">
        <v>447</v>
      </c>
    </row>
    <row r="16" spans="1:27" s="87" customFormat="1" ht="24" customHeight="1" x14ac:dyDescent="0.35">
      <c r="A16" s="1"/>
      <c r="B16" s="225"/>
      <c r="C16" s="49">
        <v>0.09</v>
      </c>
      <c r="D16" s="50">
        <v>0.1</v>
      </c>
      <c r="E16" s="51">
        <v>0.09</v>
      </c>
      <c r="F16" s="50">
        <v>0.67</v>
      </c>
      <c r="G16" s="51">
        <v>8.9999999999999969E-2</v>
      </c>
      <c r="H16" s="51">
        <v>1.0000000000000009E-2</v>
      </c>
      <c r="I16" s="51">
        <v>0</v>
      </c>
      <c r="J16" s="50">
        <v>0.03</v>
      </c>
      <c r="K16" s="51">
        <v>0.1</v>
      </c>
      <c r="L16" s="51">
        <v>0.18000000000000002</v>
      </c>
      <c r="M16" s="50">
        <v>0</v>
      </c>
      <c r="N16" s="51">
        <v>0</v>
      </c>
      <c r="O16" s="51">
        <v>0</v>
      </c>
      <c r="P16" s="51">
        <v>0.09</v>
      </c>
      <c r="Q16" s="50">
        <v>0.10999999999999999</v>
      </c>
      <c r="R16" s="51">
        <v>0.09</v>
      </c>
      <c r="S16" s="51">
        <v>6.9999999999999979E-2</v>
      </c>
      <c r="T16" s="50">
        <v>5.0000000000000017E-2</v>
      </c>
      <c r="U16" s="51">
        <v>0.03</v>
      </c>
      <c r="V16" s="51">
        <v>0.18000000000000002</v>
      </c>
      <c r="W16" s="51">
        <v>0.30000000000000004</v>
      </c>
      <c r="X16" s="50">
        <v>0.1</v>
      </c>
      <c r="Y16" s="51">
        <v>0.11000000000000001</v>
      </c>
      <c r="Z16" s="50">
        <v>0.09</v>
      </c>
      <c r="AA16" s="52">
        <v>0.1</v>
      </c>
    </row>
    <row r="17" spans="1:27" s="93" customFormat="1" ht="21" customHeight="1" x14ac:dyDescent="0.35">
      <c r="A17" s="65"/>
      <c r="B17" s="228" t="s">
        <v>400</v>
      </c>
      <c r="C17" s="63">
        <v>4921</v>
      </c>
      <c r="D17" s="70">
        <v>2353</v>
      </c>
      <c r="E17" s="65">
        <v>2562</v>
      </c>
      <c r="F17" s="71">
        <v>6</v>
      </c>
      <c r="G17" s="72">
        <v>35</v>
      </c>
      <c r="H17" s="73">
        <v>159</v>
      </c>
      <c r="I17" s="65">
        <v>4720</v>
      </c>
      <c r="J17" s="71">
        <v>1336</v>
      </c>
      <c r="K17" s="73">
        <v>2325</v>
      </c>
      <c r="L17" s="65">
        <v>952</v>
      </c>
      <c r="M17" s="71">
        <v>0</v>
      </c>
      <c r="N17" s="72">
        <v>0</v>
      </c>
      <c r="O17" s="73">
        <v>0</v>
      </c>
      <c r="P17" s="65">
        <v>4921</v>
      </c>
      <c r="Q17" s="71">
        <v>1827</v>
      </c>
      <c r="R17" s="73">
        <v>1718</v>
      </c>
      <c r="S17" s="65">
        <v>1371</v>
      </c>
      <c r="T17" s="71">
        <v>1727</v>
      </c>
      <c r="U17" s="72">
        <v>2374</v>
      </c>
      <c r="V17" s="73">
        <v>370</v>
      </c>
      <c r="W17" s="65">
        <v>180</v>
      </c>
      <c r="X17" s="70">
        <v>3346</v>
      </c>
      <c r="Y17" s="65">
        <v>1396</v>
      </c>
      <c r="Z17" s="71">
        <v>1748</v>
      </c>
      <c r="AA17" s="74">
        <v>2807</v>
      </c>
    </row>
    <row r="18" spans="1:27" s="87" customFormat="1" ht="24" customHeight="1" x14ac:dyDescent="0.35">
      <c r="A18" s="1"/>
      <c r="B18" s="225"/>
      <c r="C18" s="49">
        <v>0.57999999999999996</v>
      </c>
      <c r="D18" s="50">
        <v>0.67</v>
      </c>
      <c r="E18" s="51">
        <v>0.51</v>
      </c>
      <c r="F18" s="50">
        <v>1.0000000000000009E-2</v>
      </c>
      <c r="G18" s="51">
        <v>5.0000000000000044E-2</v>
      </c>
      <c r="H18" s="51">
        <v>0.16999999999999993</v>
      </c>
      <c r="I18" s="51">
        <v>0.82000000000000006</v>
      </c>
      <c r="J18" s="50">
        <v>0.62</v>
      </c>
      <c r="K18" s="51">
        <v>0.59</v>
      </c>
      <c r="L18" s="51">
        <v>0.56999999999999995</v>
      </c>
      <c r="M18" s="50">
        <v>0</v>
      </c>
      <c r="N18" s="51">
        <v>0</v>
      </c>
      <c r="O18" s="51">
        <v>0</v>
      </c>
      <c r="P18" s="51">
        <v>0.57999999999999996</v>
      </c>
      <c r="Q18" s="50">
        <v>0.59</v>
      </c>
      <c r="R18" s="51">
        <v>0.56999999999999995</v>
      </c>
      <c r="S18" s="51">
        <v>0.57999999999999996</v>
      </c>
      <c r="T18" s="50">
        <v>0.67</v>
      </c>
      <c r="U18" s="51">
        <v>0.72</v>
      </c>
      <c r="V18" s="51">
        <v>0.38</v>
      </c>
      <c r="W18" s="51">
        <v>0.26</v>
      </c>
      <c r="X18" s="50">
        <v>0.57999999999999996</v>
      </c>
      <c r="Y18" s="51">
        <v>0.6</v>
      </c>
      <c r="Z18" s="50">
        <v>0.54</v>
      </c>
      <c r="AA18" s="52">
        <v>0.62</v>
      </c>
    </row>
    <row r="19" spans="1:27" s="93" customFormat="1" ht="21" customHeight="1" x14ac:dyDescent="0.35">
      <c r="A19" s="65"/>
      <c r="B19" s="228" t="s">
        <v>401</v>
      </c>
      <c r="C19" s="63">
        <v>1146</v>
      </c>
      <c r="D19" s="70">
        <v>508</v>
      </c>
      <c r="E19" s="65">
        <v>628</v>
      </c>
      <c r="F19" s="71">
        <v>216</v>
      </c>
      <c r="G19" s="72">
        <v>318</v>
      </c>
      <c r="H19" s="73">
        <v>283</v>
      </c>
      <c r="I19" s="65">
        <v>329</v>
      </c>
      <c r="J19" s="71">
        <v>283</v>
      </c>
      <c r="K19" s="73">
        <v>499</v>
      </c>
      <c r="L19" s="65">
        <v>187</v>
      </c>
      <c r="M19" s="71">
        <v>0</v>
      </c>
      <c r="N19" s="72">
        <v>0</v>
      </c>
      <c r="O19" s="73">
        <v>0</v>
      </c>
      <c r="P19" s="65">
        <v>1146</v>
      </c>
      <c r="Q19" s="71">
        <v>436</v>
      </c>
      <c r="R19" s="73">
        <v>382</v>
      </c>
      <c r="S19" s="65">
        <v>320</v>
      </c>
      <c r="T19" s="71">
        <v>356</v>
      </c>
      <c r="U19" s="72">
        <v>248</v>
      </c>
      <c r="V19" s="73">
        <v>184</v>
      </c>
      <c r="W19" s="65">
        <v>113</v>
      </c>
      <c r="X19" s="70">
        <v>773</v>
      </c>
      <c r="Y19" s="65">
        <v>282</v>
      </c>
      <c r="Z19" s="71">
        <v>531</v>
      </c>
      <c r="AA19" s="74">
        <v>529</v>
      </c>
    </row>
    <row r="20" spans="1:27" s="87" customFormat="1" ht="24" customHeight="1" x14ac:dyDescent="0.35">
      <c r="A20" s="1"/>
      <c r="B20" s="225"/>
      <c r="C20" s="49">
        <v>0.14000000000000001</v>
      </c>
      <c r="D20" s="50">
        <v>0.14999999999999991</v>
      </c>
      <c r="E20" s="51">
        <v>0.13</v>
      </c>
      <c r="F20" s="50">
        <v>0.18999999999999995</v>
      </c>
      <c r="G20" s="51">
        <v>0.42</v>
      </c>
      <c r="H20" s="51">
        <v>0.30000000000000004</v>
      </c>
      <c r="I20" s="51">
        <v>5.9999999999999942E-2</v>
      </c>
      <c r="J20" s="50">
        <v>0.13</v>
      </c>
      <c r="K20" s="51">
        <v>0.12</v>
      </c>
      <c r="L20" s="51">
        <v>0.12</v>
      </c>
      <c r="M20" s="50">
        <v>0</v>
      </c>
      <c r="N20" s="51">
        <v>0</v>
      </c>
      <c r="O20" s="51">
        <v>0</v>
      </c>
      <c r="P20" s="51">
        <v>0.14000000000000001</v>
      </c>
      <c r="Q20" s="50">
        <v>0.14000000000000001</v>
      </c>
      <c r="R20" s="51">
        <v>0.13</v>
      </c>
      <c r="S20" s="51">
        <v>0.14000000000000001</v>
      </c>
      <c r="T20" s="50">
        <v>0.1399999999999999</v>
      </c>
      <c r="U20" s="51">
        <v>6.9999999999999951E-2</v>
      </c>
      <c r="V20" s="51">
        <v>0.18999999999999995</v>
      </c>
      <c r="W20" s="51">
        <v>0.16999999999999993</v>
      </c>
      <c r="X20" s="50">
        <v>0.13</v>
      </c>
      <c r="Y20" s="51">
        <v>0.13</v>
      </c>
      <c r="Z20" s="50">
        <v>0.15999999999999992</v>
      </c>
      <c r="AA20" s="52">
        <v>0.12</v>
      </c>
    </row>
    <row r="21" spans="1:27" s="93" customFormat="1" ht="21" customHeight="1" x14ac:dyDescent="0.35">
      <c r="A21" s="65"/>
      <c r="B21" s="228" t="s">
        <v>81</v>
      </c>
      <c r="C21" s="63">
        <v>331</v>
      </c>
      <c r="D21" s="70">
        <v>129</v>
      </c>
      <c r="E21" s="65">
        <v>199</v>
      </c>
      <c r="F21" s="71">
        <v>34</v>
      </c>
      <c r="G21" s="72">
        <v>69</v>
      </c>
      <c r="H21" s="73">
        <v>118</v>
      </c>
      <c r="I21" s="65">
        <v>110</v>
      </c>
      <c r="J21" s="71">
        <v>75</v>
      </c>
      <c r="K21" s="73">
        <v>138</v>
      </c>
      <c r="L21" s="65">
        <v>53</v>
      </c>
      <c r="M21" s="71">
        <v>0</v>
      </c>
      <c r="N21" s="72">
        <v>0</v>
      </c>
      <c r="O21" s="73">
        <v>0</v>
      </c>
      <c r="P21" s="65">
        <v>331</v>
      </c>
      <c r="Q21" s="71">
        <v>94</v>
      </c>
      <c r="R21" s="73">
        <v>132</v>
      </c>
      <c r="S21" s="65">
        <v>96</v>
      </c>
      <c r="T21" s="71">
        <v>139</v>
      </c>
      <c r="U21" s="72">
        <v>76</v>
      </c>
      <c r="V21" s="73">
        <v>26</v>
      </c>
      <c r="W21" s="65">
        <v>24</v>
      </c>
      <c r="X21" s="70">
        <v>199</v>
      </c>
      <c r="Y21" s="65">
        <v>97</v>
      </c>
      <c r="Z21" s="71">
        <v>128</v>
      </c>
      <c r="AA21" s="74">
        <v>164</v>
      </c>
    </row>
    <row r="22" spans="1:27" s="87" customFormat="1" ht="24" customHeight="1" x14ac:dyDescent="0.35">
      <c r="A22" s="1"/>
      <c r="B22" s="225"/>
      <c r="C22" s="49">
        <v>4.0000000000000036E-2</v>
      </c>
      <c r="D22" s="50">
        <v>3.0000000000000027E-2</v>
      </c>
      <c r="E22" s="51">
        <v>4.0000000000000036E-2</v>
      </c>
      <c r="F22" s="50">
        <v>4.0000000000000036E-2</v>
      </c>
      <c r="G22" s="51">
        <v>8.9999999999999969E-2</v>
      </c>
      <c r="H22" s="51">
        <v>0.13</v>
      </c>
      <c r="I22" s="51">
        <v>2.0000000000000018E-2</v>
      </c>
      <c r="J22" s="50">
        <v>3.0000000000000027E-2</v>
      </c>
      <c r="K22" s="51">
        <v>4.0000000000000036E-2</v>
      </c>
      <c r="L22" s="51">
        <v>3.0000000000000027E-2</v>
      </c>
      <c r="M22" s="50">
        <v>0</v>
      </c>
      <c r="N22" s="51">
        <v>0</v>
      </c>
      <c r="O22" s="51">
        <v>0</v>
      </c>
      <c r="P22" s="51">
        <v>4.0000000000000036E-2</v>
      </c>
      <c r="Q22" s="50">
        <v>3.0000000000000027E-2</v>
      </c>
      <c r="R22" s="51">
        <v>5.0000000000000044E-2</v>
      </c>
      <c r="S22" s="51">
        <v>4.0000000000000036E-2</v>
      </c>
      <c r="T22" s="50">
        <v>5.0000000000000044E-2</v>
      </c>
      <c r="U22" s="51">
        <v>3.0000000000000027E-2</v>
      </c>
      <c r="V22" s="51">
        <v>3.0000000000000027E-2</v>
      </c>
      <c r="W22" s="51">
        <v>4.0000000000000036E-2</v>
      </c>
      <c r="X22" s="50">
        <v>4.0000000000000036E-2</v>
      </c>
      <c r="Y22" s="51">
        <v>4.0000000000000036E-2</v>
      </c>
      <c r="Z22" s="50">
        <v>4.0000000000000036E-2</v>
      </c>
      <c r="AA22" s="52">
        <v>4.0000000000000036E-2</v>
      </c>
    </row>
    <row r="23" spans="1:27" s="93" customFormat="1" ht="21" customHeight="1" x14ac:dyDescent="0.35">
      <c r="A23" s="65"/>
      <c r="B23" s="232" t="s">
        <v>93</v>
      </c>
      <c r="C23" s="63">
        <v>34</v>
      </c>
      <c r="D23" s="70">
        <v>23</v>
      </c>
      <c r="E23" s="65">
        <v>11</v>
      </c>
      <c r="F23" s="71">
        <v>5</v>
      </c>
      <c r="G23" s="72">
        <v>23</v>
      </c>
      <c r="H23" s="73">
        <v>3</v>
      </c>
      <c r="I23" s="65">
        <v>2</v>
      </c>
      <c r="J23" s="71">
        <v>16</v>
      </c>
      <c r="K23" s="73">
        <v>7</v>
      </c>
      <c r="L23" s="65">
        <v>1</v>
      </c>
      <c r="M23" s="71">
        <v>0</v>
      </c>
      <c r="N23" s="72">
        <v>0</v>
      </c>
      <c r="O23" s="73">
        <v>0</v>
      </c>
      <c r="P23" s="65">
        <v>34</v>
      </c>
      <c r="Q23" s="71">
        <v>14</v>
      </c>
      <c r="R23" s="73">
        <v>13</v>
      </c>
      <c r="S23" s="65">
        <v>4</v>
      </c>
      <c r="T23" s="71">
        <v>2</v>
      </c>
      <c r="U23" s="72">
        <v>11</v>
      </c>
      <c r="V23" s="73">
        <v>0</v>
      </c>
      <c r="W23" s="65">
        <v>1</v>
      </c>
      <c r="X23" s="70">
        <v>20</v>
      </c>
      <c r="Y23" s="65">
        <v>3</v>
      </c>
      <c r="Z23" s="71">
        <v>1</v>
      </c>
      <c r="AA23" s="74">
        <v>22</v>
      </c>
    </row>
    <row r="24" spans="1:27" s="87" customFormat="1" ht="24" customHeight="1" thickBot="1" x14ac:dyDescent="0.4">
      <c r="A24" s="1"/>
      <c r="B24" s="233"/>
      <c r="C24" s="59">
        <v>0</v>
      </c>
      <c r="D24" s="60">
        <v>1.0000000000000009E-2</v>
      </c>
      <c r="E24" s="61">
        <v>0</v>
      </c>
      <c r="F24" s="60">
        <v>0</v>
      </c>
      <c r="G24" s="61">
        <v>3.0000000000000027E-2</v>
      </c>
      <c r="H24" s="61">
        <v>0</v>
      </c>
      <c r="I24" s="61">
        <v>0</v>
      </c>
      <c r="J24" s="60">
        <v>1.0000000000000009E-2</v>
      </c>
      <c r="K24" s="61">
        <v>0</v>
      </c>
      <c r="L24" s="61">
        <v>0</v>
      </c>
      <c r="M24" s="60">
        <v>0</v>
      </c>
      <c r="N24" s="61">
        <v>0</v>
      </c>
      <c r="O24" s="61">
        <v>0</v>
      </c>
      <c r="P24" s="61">
        <v>0</v>
      </c>
      <c r="Q24" s="60">
        <v>0</v>
      </c>
      <c r="R24" s="61">
        <v>0</v>
      </c>
      <c r="S24" s="61">
        <v>0</v>
      </c>
      <c r="T24" s="60">
        <v>0</v>
      </c>
      <c r="U24" s="61">
        <v>0</v>
      </c>
      <c r="V24" s="61">
        <v>0</v>
      </c>
      <c r="W24" s="61">
        <v>0</v>
      </c>
      <c r="X24" s="60">
        <v>0</v>
      </c>
      <c r="Y24" s="61">
        <v>0</v>
      </c>
      <c r="Z24" s="60">
        <v>0</v>
      </c>
      <c r="AA24" s="62">
        <v>0</v>
      </c>
    </row>
    <row r="25" spans="1:27" s="93" customFormat="1" ht="21" customHeight="1" x14ac:dyDescent="0.35">
      <c r="A25" s="65"/>
      <c r="B25" s="3"/>
      <c r="C25" s="63"/>
      <c r="D25" s="65"/>
      <c r="E25" s="65"/>
      <c r="F25" s="65"/>
      <c r="G25" s="65"/>
      <c r="H25" s="65"/>
      <c r="I25" s="65"/>
      <c r="J25" s="65"/>
      <c r="K25" s="65"/>
      <c r="L25" s="65"/>
      <c r="M25" s="65"/>
      <c r="N25" s="65"/>
      <c r="O25" s="65"/>
      <c r="P25" s="65"/>
      <c r="Q25" s="65"/>
      <c r="R25" s="65"/>
      <c r="S25" s="65"/>
      <c r="T25" s="65"/>
      <c r="U25" s="65"/>
      <c r="V25" s="65"/>
      <c r="W25" s="65"/>
      <c r="X25" s="65"/>
      <c r="Y25" s="65"/>
      <c r="Z25" s="65"/>
      <c r="AA25" s="65"/>
    </row>
    <row r="26" spans="1:27" s="87" customFormat="1" ht="24" customHeight="1" x14ac:dyDescent="0.35">
      <c r="A26" s="1"/>
      <c r="B26" s="3"/>
      <c r="C26" s="2"/>
      <c r="D26" s="1"/>
      <c r="E26" s="1"/>
      <c r="F26" s="1"/>
      <c r="G26" s="1"/>
      <c r="H26" s="1"/>
      <c r="I26" s="1"/>
      <c r="J26" s="1"/>
      <c r="K26" s="1"/>
      <c r="L26" s="1"/>
      <c r="M26" s="1"/>
      <c r="N26" s="1"/>
      <c r="O26" s="1"/>
      <c r="P26" s="1"/>
      <c r="Q26" s="1"/>
      <c r="R26" s="1"/>
      <c r="S26" s="1"/>
      <c r="T26" s="1"/>
      <c r="U26" s="1"/>
      <c r="V26" s="1"/>
      <c r="W26" s="1"/>
      <c r="X26" s="1"/>
      <c r="Y26" s="1"/>
      <c r="Z26" s="1"/>
      <c r="AA26" s="1"/>
    </row>
    <row r="27" spans="1:27" x14ac:dyDescent="0.4"/>
    <row r="28" spans="1:27" ht="24" customHeight="1" x14ac:dyDescent="0.4"/>
    <row r="29" spans="1:27" x14ac:dyDescent="0.4">
      <c r="B29" s="1"/>
    </row>
    <row r="30" spans="1:27" ht="24" customHeight="1" x14ac:dyDescent="0.4"/>
    <row r="31" spans="1:27" x14ac:dyDescent="0.4"/>
  </sheetData>
  <mergeCells count="14">
    <mergeCell ref="B15:B16"/>
    <mergeCell ref="B17:B18"/>
    <mergeCell ref="B19:B20"/>
    <mergeCell ref="B21:B22"/>
    <mergeCell ref="B23:B24"/>
    <mergeCell ref="T9:W9"/>
    <mergeCell ref="X9:Y9"/>
    <mergeCell ref="Z9:AA9"/>
    <mergeCell ref="B13:B14"/>
    <mergeCell ref="D9:E9"/>
    <mergeCell ref="F9:I9"/>
    <mergeCell ref="J9:L9"/>
    <mergeCell ref="M9:P9"/>
    <mergeCell ref="Q9:S9"/>
  </mergeCells>
  <hyperlinks>
    <hyperlink ref="B1" location="'Table of Contents'!A1" display="Home" xr:uid="{CFC34368-3912-C243-BCB5-F197295E2317}"/>
  </hyperlinks>
  <pageMargins left="0.7" right="0.7" top="0.75" bottom="0.75" header="0.511811023622047" footer="0.511811023622047"/>
  <pageSetup paperSize="9" orientation="portrait" useFirstPageNumber="1"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Feuil27"/>
  <dimension ref="A1:AA36"/>
  <sheetViews>
    <sheetView showGridLines="0" zoomScale="60" zoomScaleNormal="60" workbookViewId="0"/>
  </sheetViews>
  <sheetFormatPr defaultColWidth="20.6328125" defaultRowHeight="19" customHeight="1" x14ac:dyDescent="0.4"/>
  <cols>
    <col min="1" max="1" width="8.81640625" style="101" customWidth="1"/>
    <col min="2" max="2" width="100.6328125" style="3" customWidth="1"/>
    <col min="3" max="3" width="20.6328125" style="2"/>
    <col min="4" max="23" width="20.6328125" style="1"/>
    <col min="24" max="27" width="20.6328125" style="101"/>
    <col min="28" max="16384" width="20.6328125" style="102"/>
  </cols>
  <sheetData>
    <row r="1" spans="1:27" x14ac:dyDescent="0.4">
      <c r="B1" s="37" t="s">
        <v>0</v>
      </c>
    </row>
    <row r="2" spans="1:27" x14ac:dyDescent="0.4">
      <c r="B2" s="3" t="s">
        <v>442</v>
      </c>
    </row>
    <row r="3" spans="1:27" x14ac:dyDescent="0.4">
      <c r="B3" s="3" t="s">
        <v>1</v>
      </c>
      <c r="D3" s="2"/>
      <c r="E3" s="2"/>
      <c r="F3" s="2"/>
      <c r="G3" s="2"/>
      <c r="H3" s="2"/>
      <c r="I3" s="2"/>
      <c r="J3" s="2"/>
      <c r="K3" s="2"/>
      <c r="L3" s="2"/>
      <c r="M3" s="2"/>
      <c r="N3" s="2"/>
      <c r="O3" s="2"/>
      <c r="P3" s="2"/>
      <c r="Q3" s="2"/>
      <c r="R3" s="2"/>
      <c r="S3" s="2"/>
      <c r="T3" s="2"/>
      <c r="U3" s="2"/>
      <c r="V3" s="2"/>
      <c r="W3" s="2"/>
    </row>
    <row r="4" spans="1:27" x14ac:dyDescent="0.4">
      <c r="B4" s="3" t="s">
        <v>2</v>
      </c>
    </row>
    <row r="6" spans="1:27" s="217" customFormat="1" ht="19" customHeight="1" x14ac:dyDescent="0.5">
      <c r="A6" s="216"/>
      <c r="B6" s="28" t="s">
        <v>402</v>
      </c>
      <c r="C6" s="2"/>
      <c r="D6" s="2"/>
      <c r="E6" s="2"/>
      <c r="F6" s="2"/>
      <c r="G6" s="2"/>
      <c r="H6" s="2"/>
      <c r="I6" s="2"/>
      <c r="J6" s="2"/>
      <c r="K6" s="2"/>
      <c r="L6" s="2"/>
      <c r="M6" s="2"/>
      <c r="N6" s="2"/>
      <c r="O6" s="2"/>
      <c r="P6" s="2"/>
      <c r="Q6" s="2"/>
      <c r="R6" s="2"/>
      <c r="S6" s="2"/>
      <c r="T6" s="2"/>
      <c r="U6" s="2"/>
      <c r="V6" s="2"/>
      <c r="W6" s="2"/>
      <c r="X6" s="216"/>
      <c r="Y6" s="216"/>
      <c r="Z6" s="216"/>
      <c r="AA6" s="216"/>
    </row>
    <row r="7" spans="1:27" ht="19.5" customHeight="1" x14ac:dyDescent="0.4">
      <c r="B7" s="215" t="s">
        <v>415</v>
      </c>
    </row>
    <row r="8" spans="1:27" ht="19" customHeight="1" thickBot="1" x14ac:dyDescent="0.45"/>
    <row r="9" spans="1:27" ht="19.5" customHeight="1" x14ac:dyDescent="0.4">
      <c r="B9" s="5"/>
      <c r="C9" s="6" t="s">
        <v>21</v>
      </c>
      <c r="D9" s="221" t="s">
        <v>22</v>
      </c>
      <c r="E9" s="222"/>
      <c r="F9" s="221" t="s">
        <v>23</v>
      </c>
      <c r="G9" s="222"/>
      <c r="H9" s="222"/>
      <c r="I9" s="222"/>
      <c r="J9" s="221" t="s">
        <v>24</v>
      </c>
      <c r="K9" s="222"/>
      <c r="L9" s="222"/>
      <c r="M9" s="221" t="s">
        <v>25</v>
      </c>
      <c r="N9" s="222"/>
      <c r="O9" s="222"/>
      <c r="P9" s="222"/>
      <c r="Q9" s="221" t="s">
        <v>26</v>
      </c>
      <c r="R9" s="222"/>
      <c r="S9" s="222"/>
      <c r="T9" s="221" t="s">
        <v>27</v>
      </c>
      <c r="U9" s="222"/>
      <c r="V9" s="222"/>
      <c r="W9" s="222"/>
      <c r="X9" s="221" t="s">
        <v>28</v>
      </c>
      <c r="Y9" s="222"/>
      <c r="Z9" s="221" t="s">
        <v>29</v>
      </c>
      <c r="AA9" s="223"/>
    </row>
    <row r="10" spans="1:27" s="89" customFormat="1" ht="57" customHeight="1" thickBot="1" x14ac:dyDescent="0.45">
      <c r="A10" s="2"/>
      <c r="B10" s="91"/>
      <c r="C10" s="7" t="e" vm="1">
        <v>#VALUE!</v>
      </c>
      <c r="D10" s="8" t="s">
        <v>30</v>
      </c>
      <c r="E10" s="9" t="s">
        <v>31</v>
      </c>
      <c r="F10" s="10" t="s">
        <v>32</v>
      </c>
      <c r="G10" s="11" t="s">
        <v>33</v>
      </c>
      <c r="H10" s="12" t="s">
        <v>34</v>
      </c>
      <c r="I10" s="9" t="s">
        <v>35</v>
      </c>
      <c r="J10" s="10" t="s">
        <v>36</v>
      </c>
      <c r="K10" s="12" t="s">
        <v>37</v>
      </c>
      <c r="L10" s="9" t="s">
        <v>38</v>
      </c>
      <c r="M10" s="10" t="s">
        <v>39</v>
      </c>
      <c r="N10" s="11" t="s">
        <v>40</v>
      </c>
      <c r="O10" s="12" t="s">
        <v>41</v>
      </c>
      <c r="P10" s="9" t="s">
        <v>42</v>
      </c>
      <c r="Q10" s="10" t="s">
        <v>43</v>
      </c>
      <c r="R10" s="12" t="s">
        <v>44</v>
      </c>
      <c r="S10" s="9" t="s">
        <v>45</v>
      </c>
      <c r="T10" s="34">
        <v>1</v>
      </c>
      <c r="U10" s="35">
        <v>2</v>
      </c>
      <c r="V10" s="36">
        <v>3</v>
      </c>
      <c r="W10" s="9" t="s">
        <v>46</v>
      </c>
      <c r="X10" s="13" t="s">
        <v>409</v>
      </c>
      <c r="Y10" s="9" t="s">
        <v>410</v>
      </c>
      <c r="Z10" s="10" t="s">
        <v>409</v>
      </c>
      <c r="AA10" s="31" t="s">
        <v>410</v>
      </c>
    </row>
    <row r="11" spans="1:27" s="94" customFormat="1" ht="18.75" customHeight="1" x14ac:dyDescent="0.35">
      <c r="A11" s="26"/>
      <c r="B11" s="14" t="s">
        <v>49</v>
      </c>
      <c r="C11" s="26">
        <v>27292</v>
      </c>
      <c r="D11" s="39">
        <v>13488</v>
      </c>
      <c r="E11" s="26">
        <v>13685</v>
      </c>
      <c r="F11" s="40">
        <v>3682</v>
      </c>
      <c r="G11" s="41">
        <v>7667</v>
      </c>
      <c r="H11" s="42">
        <v>7751</v>
      </c>
      <c r="I11" s="26">
        <v>8192</v>
      </c>
      <c r="J11" s="40">
        <v>2780</v>
      </c>
      <c r="K11" s="42">
        <v>9601</v>
      </c>
      <c r="L11" s="26">
        <v>12258</v>
      </c>
      <c r="M11" s="40">
        <v>2997</v>
      </c>
      <c r="N11" s="41">
        <v>14034</v>
      </c>
      <c r="O11" s="42">
        <v>2839</v>
      </c>
      <c r="P11" s="26">
        <v>6900</v>
      </c>
      <c r="Q11" s="40">
        <v>10494</v>
      </c>
      <c r="R11" s="42">
        <v>10245</v>
      </c>
      <c r="S11" s="26">
        <v>6421</v>
      </c>
      <c r="T11" s="40">
        <v>6218</v>
      </c>
      <c r="U11" s="41">
        <v>10287</v>
      </c>
      <c r="V11" s="42">
        <v>4457</v>
      </c>
      <c r="W11" s="26">
        <v>3439</v>
      </c>
      <c r="X11" s="39">
        <v>17539</v>
      </c>
      <c r="Y11" s="26">
        <v>8634</v>
      </c>
      <c r="Z11" s="40">
        <v>11191</v>
      </c>
      <c r="AA11" s="43">
        <v>14524</v>
      </c>
    </row>
    <row r="12" spans="1:27" s="94" customFormat="1" ht="18.75" customHeight="1" thickBot="1" x14ac:dyDescent="0.4">
      <c r="A12" s="26"/>
      <c r="B12" s="15" t="s">
        <v>50</v>
      </c>
      <c r="C12" s="44">
        <v>27292</v>
      </c>
      <c r="D12" s="45">
        <v>13117</v>
      </c>
      <c r="E12" s="46">
        <v>14056</v>
      </c>
      <c r="F12" s="45">
        <v>3535</v>
      </c>
      <c r="G12" s="47">
        <v>6272</v>
      </c>
      <c r="H12" s="47">
        <v>6843</v>
      </c>
      <c r="I12" s="46">
        <v>10643</v>
      </c>
      <c r="J12" s="45">
        <v>5987</v>
      </c>
      <c r="K12" s="47">
        <v>10797</v>
      </c>
      <c r="L12" s="46">
        <v>7855</v>
      </c>
      <c r="M12" s="45">
        <v>2765</v>
      </c>
      <c r="N12" s="47">
        <v>12846</v>
      </c>
      <c r="O12" s="47">
        <v>2724</v>
      </c>
      <c r="P12" s="46">
        <v>8517</v>
      </c>
      <c r="Q12" s="45">
        <v>10940</v>
      </c>
      <c r="R12" s="47">
        <v>9369</v>
      </c>
      <c r="S12" s="46">
        <v>6851</v>
      </c>
      <c r="T12" s="45">
        <v>7012</v>
      </c>
      <c r="U12" s="47">
        <v>10099</v>
      </c>
      <c r="V12" s="47">
        <v>3919</v>
      </c>
      <c r="W12" s="46">
        <v>2709</v>
      </c>
      <c r="X12" s="45">
        <v>18568</v>
      </c>
      <c r="Y12" s="46">
        <v>7508</v>
      </c>
      <c r="Z12" s="45">
        <v>11570</v>
      </c>
      <c r="AA12" s="48">
        <v>13901</v>
      </c>
    </row>
    <row r="13" spans="1:27" s="93" customFormat="1" ht="21" customHeight="1" x14ac:dyDescent="0.35">
      <c r="A13" s="65"/>
      <c r="B13" s="224" t="s">
        <v>43</v>
      </c>
      <c r="C13" s="63">
        <v>10940</v>
      </c>
      <c r="D13" s="64">
        <v>5449</v>
      </c>
      <c r="E13" s="65">
        <v>5451</v>
      </c>
      <c r="F13" s="66">
        <v>1343</v>
      </c>
      <c r="G13" s="67">
        <v>2755</v>
      </c>
      <c r="H13" s="68">
        <v>2761</v>
      </c>
      <c r="I13" s="65">
        <v>4080</v>
      </c>
      <c r="J13" s="66">
        <v>2343</v>
      </c>
      <c r="K13" s="68">
        <v>4093</v>
      </c>
      <c r="L13" s="65">
        <v>3585</v>
      </c>
      <c r="M13" s="66">
        <v>1151</v>
      </c>
      <c r="N13" s="67">
        <v>5536</v>
      </c>
      <c r="O13" s="68">
        <v>979</v>
      </c>
      <c r="P13" s="65">
        <v>3129</v>
      </c>
      <c r="Q13" s="66">
        <v>10940</v>
      </c>
      <c r="R13" s="68">
        <v>0</v>
      </c>
      <c r="S13" s="65">
        <v>0</v>
      </c>
      <c r="T13" s="66">
        <v>3294</v>
      </c>
      <c r="U13" s="67">
        <v>3973</v>
      </c>
      <c r="V13" s="68">
        <v>1533</v>
      </c>
      <c r="W13" s="65">
        <v>923</v>
      </c>
      <c r="X13" s="64">
        <v>7359</v>
      </c>
      <c r="Y13" s="65">
        <v>3145</v>
      </c>
      <c r="Z13" s="66">
        <v>4798</v>
      </c>
      <c r="AA13" s="69">
        <v>5502</v>
      </c>
    </row>
    <row r="14" spans="1:27" s="87" customFormat="1" ht="24" customHeight="1" x14ac:dyDescent="0.35">
      <c r="A14" s="1"/>
      <c r="B14" s="225"/>
      <c r="C14" s="49">
        <v>0.4</v>
      </c>
      <c r="D14" s="50">
        <v>0.42</v>
      </c>
      <c r="E14" s="51">
        <v>0.39</v>
      </c>
      <c r="F14" s="50">
        <v>0.38</v>
      </c>
      <c r="G14" s="51">
        <v>0.44</v>
      </c>
      <c r="H14" s="51">
        <v>0.4</v>
      </c>
      <c r="I14" s="51">
        <v>0.38</v>
      </c>
      <c r="J14" s="50">
        <v>0.39</v>
      </c>
      <c r="K14" s="51">
        <v>0.38</v>
      </c>
      <c r="L14" s="51">
        <v>0.46</v>
      </c>
      <c r="M14" s="50">
        <v>0.42</v>
      </c>
      <c r="N14" s="51">
        <v>0.43</v>
      </c>
      <c r="O14" s="51">
        <v>0.36</v>
      </c>
      <c r="P14" s="51">
        <v>0.37</v>
      </c>
      <c r="Q14" s="50">
        <v>1</v>
      </c>
      <c r="R14" s="51">
        <v>0</v>
      </c>
      <c r="S14" s="51">
        <v>0</v>
      </c>
      <c r="T14" s="50">
        <v>0.47</v>
      </c>
      <c r="U14" s="51">
        <v>0.39</v>
      </c>
      <c r="V14" s="51">
        <v>0.39</v>
      </c>
      <c r="W14" s="51">
        <v>0.34</v>
      </c>
      <c r="X14" s="50">
        <v>0.4</v>
      </c>
      <c r="Y14" s="51">
        <v>0.42</v>
      </c>
      <c r="Z14" s="50">
        <v>0.41</v>
      </c>
      <c r="AA14" s="52">
        <v>0.4</v>
      </c>
    </row>
    <row r="15" spans="1:27" s="93" customFormat="1" ht="21" customHeight="1" x14ac:dyDescent="0.35">
      <c r="A15" s="65"/>
      <c r="B15" s="228" t="s">
        <v>44</v>
      </c>
      <c r="C15" s="63">
        <v>9369</v>
      </c>
      <c r="D15" s="70">
        <v>4522</v>
      </c>
      <c r="E15" s="65">
        <v>4810</v>
      </c>
      <c r="F15" s="71">
        <v>1260</v>
      </c>
      <c r="G15" s="72">
        <v>2038</v>
      </c>
      <c r="H15" s="73">
        <v>2292</v>
      </c>
      <c r="I15" s="65">
        <v>3778</v>
      </c>
      <c r="J15" s="71">
        <v>1996</v>
      </c>
      <c r="K15" s="73">
        <v>3765</v>
      </c>
      <c r="L15" s="65">
        <v>2636</v>
      </c>
      <c r="M15" s="71">
        <v>956</v>
      </c>
      <c r="N15" s="72">
        <v>4289</v>
      </c>
      <c r="O15" s="73">
        <v>989</v>
      </c>
      <c r="P15" s="65">
        <v>2997</v>
      </c>
      <c r="Q15" s="71">
        <v>0</v>
      </c>
      <c r="R15" s="73">
        <v>9369</v>
      </c>
      <c r="S15" s="65">
        <v>0</v>
      </c>
      <c r="T15" s="71">
        <v>2295</v>
      </c>
      <c r="U15" s="72">
        <v>3463</v>
      </c>
      <c r="V15" s="73">
        <v>1348</v>
      </c>
      <c r="W15" s="65">
        <v>927</v>
      </c>
      <c r="X15" s="70">
        <v>6242</v>
      </c>
      <c r="Y15" s="65">
        <v>2693</v>
      </c>
      <c r="Z15" s="71">
        <v>3725</v>
      </c>
      <c r="AA15" s="74">
        <v>5016</v>
      </c>
    </row>
    <row r="16" spans="1:27" s="87" customFormat="1" ht="24" customHeight="1" x14ac:dyDescent="0.35">
      <c r="A16" s="1"/>
      <c r="B16" s="225"/>
      <c r="C16" s="49">
        <v>0.33999999999999997</v>
      </c>
      <c r="D16" s="50">
        <v>0.34</v>
      </c>
      <c r="E16" s="51">
        <v>0.33999999999999997</v>
      </c>
      <c r="F16" s="50">
        <v>0.36</v>
      </c>
      <c r="G16" s="51">
        <v>0.32</v>
      </c>
      <c r="H16" s="51">
        <v>0.33999999999999997</v>
      </c>
      <c r="I16" s="51">
        <v>0.36</v>
      </c>
      <c r="J16" s="50">
        <v>0.32999999999999996</v>
      </c>
      <c r="K16" s="51">
        <v>0.35</v>
      </c>
      <c r="L16" s="51">
        <v>0.33</v>
      </c>
      <c r="M16" s="50">
        <v>0.34</v>
      </c>
      <c r="N16" s="51">
        <v>0.33</v>
      </c>
      <c r="O16" s="51">
        <v>0.36</v>
      </c>
      <c r="P16" s="51">
        <v>0.35</v>
      </c>
      <c r="Q16" s="50">
        <v>0</v>
      </c>
      <c r="R16" s="51">
        <v>1</v>
      </c>
      <c r="S16" s="51">
        <v>0</v>
      </c>
      <c r="T16" s="50">
        <v>0.33000000000000007</v>
      </c>
      <c r="U16" s="51">
        <v>0.35</v>
      </c>
      <c r="V16" s="51">
        <v>0.35</v>
      </c>
      <c r="W16" s="51">
        <v>0.34</v>
      </c>
      <c r="X16" s="50">
        <v>0.32999999999999996</v>
      </c>
      <c r="Y16" s="51">
        <v>0.36000000000000004</v>
      </c>
      <c r="Z16" s="50">
        <v>0.33</v>
      </c>
      <c r="AA16" s="52">
        <v>0.36</v>
      </c>
    </row>
    <row r="17" spans="1:27" s="93" customFormat="1" ht="21" customHeight="1" x14ac:dyDescent="0.35">
      <c r="A17" s="65"/>
      <c r="B17" s="228" t="s">
        <v>45</v>
      </c>
      <c r="C17" s="63">
        <v>6851</v>
      </c>
      <c r="D17" s="70">
        <v>3089</v>
      </c>
      <c r="E17" s="65">
        <v>3728</v>
      </c>
      <c r="F17" s="71">
        <v>878</v>
      </c>
      <c r="G17" s="72">
        <v>1435</v>
      </c>
      <c r="H17" s="73">
        <v>1764</v>
      </c>
      <c r="I17" s="65">
        <v>2775</v>
      </c>
      <c r="J17" s="71">
        <v>1627</v>
      </c>
      <c r="K17" s="73">
        <v>2917</v>
      </c>
      <c r="L17" s="65">
        <v>1618</v>
      </c>
      <c r="M17" s="71">
        <v>639</v>
      </c>
      <c r="N17" s="72">
        <v>2999</v>
      </c>
      <c r="O17" s="73">
        <v>739</v>
      </c>
      <c r="P17" s="65">
        <v>2358</v>
      </c>
      <c r="Q17" s="71">
        <v>0</v>
      </c>
      <c r="R17" s="73">
        <v>0</v>
      </c>
      <c r="S17" s="65">
        <v>6851</v>
      </c>
      <c r="T17" s="71">
        <v>1411</v>
      </c>
      <c r="U17" s="72">
        <v>2654</v>
      </c>
      <c r="V17" s="73">
        <v>1033</v>
      </c>
      <c r="W17" s="65">
        <v>848</v>
      </c>
      <c r="X17" s="70">
        <v>4902</v>
      </c>
      <c r="Y17" s="65">
        <v>1650</v>
      </c>
      <c r="Z17" s="71">
        <v>3003</v>
      </c>
      <c r="AA17" s="74">
        <v>3347</v>
      </c>
    </row>
    <row r="18" spans="1:27" s="87" customFormat="1" ht="24" customHeight="1" x14ac:dyDescent="0.35">
      <c r="A18" s="1"/>
      <c r="B18" s="225"/>
      <c r="C18" s="49">
        <v>0.26</v>
      </c>
      <c r="D18" s="50">
        <v>0.24</v>
      </c>
      <c r="E18" s="51">
        <v>0.27</v>
      </c>
      <c r="F18" s="50">
        <v>0.24</v>
      </c>
      <c r="G18" s="51">
        <v>0.22999999999999998</v>
      </c>
      <c r="H18" s="51">
        <v>0.26</v>
      </c>
      <c r="I18" s="51">
        <v>0.26</v>
      </c>
      <c r="J18" s="50">
        <v>0.28000000000000003</v>
      </c>
      <c r="K18" s="51">
        <v>0.27</v>
      </c>
      <c r="L18" s="51">
        <v>0.20999999999999996</v>
      </c>
      <c r="M18" s="50">
        <v>0.22999999999999998</v>
      </c>
      <c r="N18" s="51">
        <v>0.24</v>
      </c>
      <c r="O18" s="51">
        <v>0.27</v>
      </c>
      <c r="P18" s="51">
        <v>0.28000000000000003</v>
      </c>
      <c r="Q18" s="50">
        <v>0</v>
      </c>
      <c r="R18" s="51">
        <v>0</v>
      </c>
      <c r="S18" s="51">
        <v>1</v>
      </c>
      <c r="T18" s="50">
        <v>0.19999999999999996</v>
      </c>
      <c r="U18" s="51">
        <v>0.26</v>
      </c>
      <c r="V18" s="51">
        <v>0.26</v>
      </c>
      <c r="W18" s="51">
        <v>0.31999999999999995</v>
      </c>
      <c r="X18" s="50">
        <v>0.27</v>
      </c>
      <c r="Y18" s="51">
        <v>0.21999999999999997</v>
      </c>
      <c r="Z18" s="50">
        <v>0.26</v>
      </c>
      <c r="AA18" s="52">
        <v>0.24</v>
      </c>
    </row>
    <row r="19" spans="1:27" s="93" customFormat="1" ht="21" customHeight="1" x14ac:dyDescent="0.35">
      <c r="A19" s="65"/>
      <c r="B19" s="232" t="s">
        <v>55</v>
      </c>
      <c r="C19" s="63">
        <v>132</v>
      </c>
      <c r="D19" s="70">
        <v>57</v>
      </c>
      <c r="E19" s="65">
        <v>66</v>
      </c>
      <c r="F19" s="71">
        <v>54</v>
      </c>
      <c r="G19" s="72">
        <v>43</v>
      </c>
      <c r="H19" s="73">
        <v>25</v>
      </c>
      <c r="I19" s="65">
        <v>10</v>
      </c>
      <c r="J19" s="71">
        <v>22</v>
      </c>
      <c r="K19" s="73">
        <v>22</v>
      </c>
      <c r="L19" s="65">
        <v>16</v>
      </c>
      <c r="M19" s="71">
        <v>18</v>
      </c>
      <c r="N19" s="72">
        <v>21</v>
      </c>
      <c r="O19" s="73">
        <v>17</v>
      </c>
      <c r="P19" s="65">
        <v>34</v>
      </c>
      <c r="Q19" s="71">
        <v>0</v>
      </c>
      <c r="R19" s="73">
        <v>0</v>
      </c>
      <c r="S19" s="65">
        <v>0</v>
      </c>
      <c r="T19" s="71">
        <v>12</v>
      </c>
      <c r="U19" s="72">
        <v>9</v>
      </c>
      <c r="V19" s="73">
        <v>5</v>
      </c>
      <c r="W19" s="65">
        <v>10</v>
      </c>
      <c r="X19" s="70">
        <v>65</v>
      </c>
      <c r="Y19" s="65">
        <v>20</v>
      </c>
      <c r="Z19" s="71">
        <v>43</v>
      </c>
      <c r="AA19" s="74">
        <v>36</v>
      </c>
    </row>
    <row r="20" spans="1:27" s="87" customFormat="1" ht="24" customHeight="1" thickBot="1" x14ac:dyDescent="0.4">
      <c r="A20" s="1"/>
      <c r="B20" s="233"/>
      <c r="C20" s="59">
        <v>0</v>
      </c>
      <c r="D20" s="60">
        <v>0</v>
      </c>
      <c r="E20" s="61">
        <v>0</v>
      </c>
      <c r="F20" s="60">
        <v>2.0000000000000018E-2</v>
      </c>
      <c r="G20" s="61">
        <v>1.0000000000000009E-2</v>
      </c>
      <c r="H20" s="61">
        <v>0</v>
      </c>
      <c r="I20" s="61">
        <v>0</v>
      </c>
      <c r="J20" s="60">
        <v>0</v>
      </c>
      <c r="K20" s="61">
        <v>0</v>
      </c>
      <c r="L20" s="61">
        <v>0</v>
      </c>
      <c r="M20" s="60">
        <v>1.0000000000000009E-2</v>
      </c>
      <c r="N20" s="61">
        <v>0</v>
      </c>
      <c r="O20" s="61">
        <v>1.0000000000000009E-2</v>
      </c>
      <c r="P20" s="61">
        <v>0</v>
      </c>
      <c r="Q20" s="60">
        <v>0</v>
      </c>
      <c r="R20" s="61">
        <v>0</v>
      </c>
      <c r="S20" s="61">
        <v>0</v>
      </c>
      <c r="T20" s="60">
        <v>0</v>
      </c>
      <c r="U20" s="61">
        <v>0</v>
      </c>
      <c r="V20" s="61">
        <v>0</v>
      </c>
      <c r="W20" s="61">
        <v>0</v>
      </c>
      <c r="X20" s="60">
        <v>0</v>
      </c>
      <c r="Y20" s="61">
        <v>0</v>
      </c>
      <c r="Z20" s="60">
        <v>0</v>
      </c>
      <c r="AA20" s="62">
        <v>0</v>
      </c>
    </row>
    <row r="21" spans="1:27" s="93" customFormat="1" ht="21" customHeight="1" x14ac:dyDescent="0.35">
      <c r="A21" s="65"/>
      <c r="B21" s="3"/>
      <c r="C21" s="63"/>
      <c r="D21" s="65"/>
      <c r="E21" s="65"/>
      <c r="F21" s="65"/>
      <c r="G21" s="65"/>
      <c r="H21" s="65"/>
      <c r="I21" s="65"/>
      <c r="J21" s="65"/>
      <c r="K21" s="65"/>
      <c r="L21" s="65"/>
      <c r="M21" s="65"/>
      <c r="N21" s="65"/>
      <c r="O21" s="65"/>
      <c r="P21" s="65"/>
      <c r="Q21" s="65"/>
      <c r="R21" s="65"/>
      <c r="S21" s="65"/>
      <c r="T21" s="65"/>
      <c r="U21" s="65"/>
      <c r="V21" s="65"/>
      <c r="W21" s="65"/>
      <c r="X21" s="65"/>
      <c r="Y21" s="65"/>
      <c r="Z21" s="65"/>
      <c r="AA21" s="65"/>
    </row>
    <row r="22" spans="1:27" s="87" customFormat="1" ht="24" customHeight="1" x14ac:dyDescent="0.35">
      <c r="A22" s="1"/>
      <c r="B22" s="3"/>
      <c r="C22" s="2"/>
      <c r="D22" s="1"/>
      <c r="E22" s="1"/>
      <c r="F22" s="1"/>
      <c r="G22" s="1"/>
      <c r="H22" s="1"/>
      <c r="I22" s="1"/>
      <c r="J22" s="1"/>
      <c r="K22" s="1"/>
      <c r="L22" s="1"/>
      <c r="M22" s="1"/>
      <c r="N22" s="1"/>
      <c r="O22" s="1"/>
      <c r="P22" s="1"/>
      <c r="Q22" s="1"/>
      <c r="R22" s="1"/>
      <c r="S22" s="1"/>
      <c r="T22" s="1"/>
      <c r="U22" s="1"/>
      <c r="V22" s="1"/>
      <c r="W22" s="1"/>
      <c r="X22" s="1"/>
      <c r="Y22" s="1"/>
      <c r="Z22" s="1"/>
      <c r="AA22" s="1"/>
    </row>
    <row r="23" spans="1:27" s="93" customFormat="1" ht="21" customHeight="1" x14ac:dyDescent="0.35">
      <c r="A23" s="65"/>
      <c r="B23" s="3"/>
      <c r="C23" s="63"/>
      <c r="D23" s="65"/>
      <c r="E23" s="65"/>
      <c r="F23" s="65"/>
      <c r="G23" s="65"/>
      <c r="H23" s="65"/>
      <c r="I23" s="65"/>
      <c r="J23" s="65"/>
      <c r="K23" s="65"/>
      <c r="L23" s="65"/>
      <c r="M23" s="65"/>
      <c r="N23" s="65"/>
      <c r="O23" s="65"/>
      <c r="P23" s="65"/>
      <c r="Q23" s="65"/>
      <c r="R23" s="65"/>
      <c r="S23" s="65"/>
      <c r="T23" s="65"/>
      <c r="U23" s="65"/>
      <c r="V23" s="65"/>
      <c r="W23" s="65"/>
      <c r="X23" s="65"/>
      <c r="Y23" s="65"/>
      <c r="Z23" s="65"/>
      <c r="AA23" s="65"/>
    </row>
    <row r="24" spans="1:27" s="87" customFormat="1" ht="24" customHeight="1" x14ac:dyDescent="0.35">
      <c r="A24" s="1"/>
      <c r="B24" s="3"/>
      <c r="C24" s="2"/>
      <c r="D24" s="1"/>
      <c r="E24" s="1"/>
      <c r="F24" s="1"/>
      <c r="G24" s="1"/>
      <c r="H24" s="1"/>
      <c r="I24" s="1"/>
      <c r="J24" s="1"/>
      <c r="K24" s="1"/>
      <c r="L24" s="1"/>
      <c r="M24" s="1"/>
      <c r="N24" s="1"/>
      <c r="O24" s="1"/>
      <c r="P24" s="1"/>
      <c r="Q24" s="1"/>
      <c r="R24" s="1"/>
      <c r="S24" s="1"/>
      <c r="T24" s="1"/>
      <c r="U24" s="1"/>
      <c r="V24" s="1"/>
      <c r="W24" s="1"/>
      <c r="X24" s="1"/>
      <c r="Y24" s="1"/>
      <c r="Z24" s="1"/>
      <c r="AA24" s="1"/>
    </row>
    <row r="25" spans="1:27" s="93" customFormat="1" ht="21" customHeight="1" x14ac:dyDescent="0.35">
      <c r="A25" s="65"/>
      <c r="B25" s="3"/>
      <c r="C25" s="63"/>
      <c r="D25" s="65"/>
      <c r="E25" s="65"/>
      <c r="F25" s="65"/>
      <c r="G25" s="65"/>
      <c r="H25" s="65"/>
      <c r="I25" s="65"/>
      <c r="J25" s="65"/>
      <c r="K25" s="65"/>
      <c r="L25" s="65"/>
      <c r="M25" s="65"/>
      <c r="N25" s="65"/>
      <c r="O25" s="65"/>
      <c r="P25" s="65"/>
      <c r="Q25" s="65"/>
      <c r="R25" s="65"/>
      <c r="S25" s="65"/>
      <c r="T25" s="65"/>
      <c r="U25" s="65"/>
      <c r="V25" s="65"/>
      <c r="W25" s="65"/>
      <c r="X25" s="65"/>
      <c r="Y25" s="65"/>
      <c r="Z25" s="65"/>
      <c r="AA25" s="65"/>
    </row>
    <row r="26" spans="1:27" s="87" customFormat="1" ht="24" customHeight="1" x14ac:dyDescent="0.35">
      <c r="A26" s="1"/>
      <c r="B26" s="3"/>
      <c r="C26" s="2"/>
      <c r="D26" s="1"/>
      <c r="E26" s="1"/>
      <c r="F26" s="1"/>
      <c r="G26" s="1"/>
      <c r="H26" s="1"/>
      <c r="I26" s="1"/>
      <c r="J26" s="1"/>
      <c r="K26" s="1"/>
      <c r="L26" s="1"/>
      <c r="M26" s="1"/>
      <c r="N26" s="1"/>
      <c r="O26" s="1"/>
      <c r="P26" s="1"/>
      <c r="Q26" s="1"/>
      <c r="R26" s="1"/>
      <c r="S26" s="1"/>
      <c r="T26" s="1"/>
      <c r="U26" s="1"/>
      <c r="V26" s="1"/>
      <c r="W26" s="1"/>
      <c r="X26" s="1"/>
      <c r="Y26" s="1"/>
      <c r="Z26" s="1"/>
      <c r="AA26" s="1"/>
    </row>
    <row r="27" spans="1:27" x14ac:dyDescent="0.4"/>
    <row r="28" spans="1:27" ht="24" customHeight="1" x14ac:dyDescent="0.4"/>
    <row r="29" spans="1:27" x14ac:dyDescent="0.4">
      <c r="B29" s="1"/>
    </row>
    <row r="30" spans="1:27" ht="24" customHeight="1" x14ac:dyDescent="0.4"/>
    <row r="31" spans="1:27" x14ac:dyDescent="0.4"/>
    <row r="32" spans="1:27" ht="24" customHeight="1" x14ac:dyDescent="0.4"/>
    <row r="33" x14ac:dyDescent="0.4"/>
    <row r="34" ht="24" customHeight="1" x14ac:dyDescent="0.4"/>
    <row r="35" x14ac:dyDescent="0.4"/>
    <row r="36" ht="24" customHeight="1" x14ac:dyDescent="0.4"/>
  </sheetData>
  <mergeCells count="12">
    <mergeCell ref="B15:B16"/>
    <mergeCell ref="B17:B18"/>
    <mergeCell ref="B19:B20"/>
    <mergeCell ref="T9:W9"/>
    <mergeCell ref="X9:Y9"/>
    <mergeCell ref="Z9:AA9"/>
    <mergeCell ref="B13:B14"/>
    <mergeCell ref="D9:E9"/>
    <mergeCell ref="F9:I9"/>
    <mergeCell ref="J9:L9"/>
    <mergeCell ref="M9:P9"/>
    <mergeCell ref="Q9:S9"/>
  </mergeCells>
  <hyperlinks>
    <hyperlink ref="B1" location="'Table of Contents'!A1" display="Home" xr:uid="{9308F628-A07F-F142-93DC-100807124519}"/>
  </hyperlinks>
  <pageMargins left="0.7" right="0.7" top="0.75" bottom="0.75" header="0.511811023622047" footer="0.511811023622047"/>
  <pageSetup paperSize="9" orientation="portrait" useFirstPageNumber="1"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Feuil28"/>
  <dimension ref="A1:AA36"/>
  <sheetViews>
    <sheetView showGridLines="0" zoomScale="60" zoomScaleNormal="60" workbookViewId="0"/>
  </sheetViews>
  <sheetFormatPr defaultColWidth="20.6328125" defaultRowHeight="19" customHeight="1" x14ac:dyDescent="0.4"/>
  <cols>
    <col min="1" max="1" width="8.81640625" style="101" customWidth="1"/>
    <col min="2" max="2" width="100.6328125" style="3" customWidth="1"/>
    <col min="3" max="3" width="20.6328125" style="2"/>
    <col min="4" max="23" width="20.6328125" style="1"/>
    <col min="24" max="27" width="20.6328125" style="101"/>
    <col min="28" max="16384" width="20.6328125" style="102"/>
  </cols>
  <sheetData>
    <row r="1" spans="1:27" x14ac:dyDescent="0.4">
      <c r="B1" s="37" t="s">
        <v>0</v>
      </c>
    </row>
    <row r="2" spans="1:27" x14ac:dyDescent="0.4">
      <c r="B2" s="3" t="s">
        <v>442</v>
      </c>
    </row>
    <row r="3" spans="1:27" x14ac:dyDescent="0.4">
      <c r="B3" s="3" t="s">
        <v>1</v>
      </c>
      <c r="D3" s="2"/>
      <c r="E3" s="2"/>
      <c r="F3" s="2"/>
      <c r="G3" s="2"/>
      <c r="H3" s="2"/>
      <c r="I3" s="2"/>
      <c r="J3" s="2"/>
      <c r="K3" s="2"/>
      <c r="L3" s="2"/>
      <c r="M3" s="2"/>
      <c r="N3" s="2"/>
      <c r="O3" s="2"/>
      <c r="P3" s="2"/>
      <c r="Q3" s="2"/>
      <c r="R3" s="2"/>
      <c r="S3" s="2"/>
      <c r="T3" s="2"/>
      <c r="U3" s="2"/>
      <c r="V3" s="2"/>
      <c r="W3" s="2"/>
    </row>
    <row r="4" spans="1:27" x14ac:dyDescent="0.4">
      <c r="B4" s="3" t="s">
        <v>2</v>
      </c>
    </row>
    <row r="6" spans="1:27" s="217" customFormat="1" ht="19" customHeight="1" x14ac:dyDescent="0.5">
      <c r="A6" s="216"/>
      <c r="B6" s="28" t="s">
        <v>403</v>
      </c>
      <c r="C6" s="2"/>
      <c r="D6" s="2"/>
      <c r="E6" s="2"/>
      <c r="F6" s="2"/>
      <c r="G6" s="2"/>
      <c r="H6" s="2"/>
      <c r="I6" s="2"/>
      <c r="J6" s="2"/>
      <c r="K6" s="2"/>
      <c r="L6" s="2"/>
      <c r="M6" s="2"/>
      <c r="N6" s="2"/>
      <c r="O6" s="2"/>
      <c r="P6" s="2"/>
      <c r="Q6" s="2"/>
      <c r="R6" s="2"/>
      <c r="S6" s="2"/>
      <c r="T6" s="2"/>
      <c r="U6" s="2"/>
      <c r="V6" s="2"/>
      <c r="W6" s="2"/>
      <c r="X6" s="216"/>
      <c r="Y6" s="216"/>
      <c r="Z6" s="216"/>
      <c r="AA6" s="216"/>
    </row>
    <row r="7" spans="1:27" ht="19.5" customHeight="1" x14ac:dyDescent="0.4">
      <c r="B7" s="215" t="s">
        <v>415</v>
      </c>
    </row>
    <row r="8" spans="1:27" ht="19" customHeight="1" thickBot="1" x14ac:dyDescent="0.45"/>
    <row r="9" spans="1:27" ht="19.5" customHeight="1" x14ac:dyDescent="0.4">
      <c r="B9" s="5"/>
      <c r="C9" s="6" t="s">
        <v>21</v>
      </c>
      <c r="D9" s="221" t="s">
        <v>22</v>
      </c>
      <c r="E9" s="222"/>
      <c r="F9" s="221" t="s">
        <v>23</v>
      </c>
      <c r="G9" s="222"/>
      <c r="H9" s="222"/>
      <c r="I9" s="222"/>
      <c r="J9" s="221" t="s">
        <v>24</v>
      </c>
      <c r="K9" s="222"/>
      <c r="L9" s="222"/>
      <c r="M9" s="221" t="s">
        <v>25</v>
      </c>
      <c r="N9" s="222"/>
      <c r="O9" s="222"/>
      <c r="P9" s="222"/>
      <c r="Q9" s="221" t="s">
        <v>26</v>
      </c>
      <c r="R9" s="222"/>
      <c r="S9" s="222"/>
      <c r="T9" s="221" t="s">
        <v>27</v>
      </c>
      <c r="U9" s="222"/>
      <c r="V9" s="222"/>
      <c r="W9" s="222"/>
      <c r="X9" s="221" t="s">
        <v>28</v>
      </c>
      <c r="Y9" s="222"/>
      <c r="Z9" s="221" t="s">
        <v>29</v>
      </c>
      <c r="AA9" s="223"/>
    </row>
    <row r="10" spans="1:27" s="89" customFormat="1" ht="57" customHeight="1" thickBot="1" x14ac:dyDescent="0.45">
      <c r="A10" s="2"/>
      <c r="B10" s="91"/>
      <c r="C10" s="7" t="e" vm="1">
        <v>#VALUE!</v>
      </c>
      <c r="D10" s="8" t="s">
        <v>30</v>
      </c>
      <c r="E10" s="9" t="s">
        <v>31</v>
      </c>
      <c r="F10" s="10" t="s">
        <v>32</v>
      </c>
      <c r="G10" s="11" t="s">
        <v>33</v>
      </c>
      <c r="H10" s="12" t="s">
        <v>34</v>
      </c>
      <c r="I10" s="9" t="s">
        <v>35</v>
      </c>
      <c r="J10" s="10" t="s">
        <v>36</v>
      </c>
      <c r="K10" s="12" t="s">
        <v>37</v>
      </c>
      <c r="L10" s="9" t="s">
        <v>38</v>
      </c>
      <c r="M10" s="10" t="s">
        <v>39</v>
      </c>
      <c r="N10" s="11" t="s">
        <v>40</v>
      </c>
      <c r="O10" s="12" t="s">
        <v>41</v>
      </c>
      <c r="P10" s="9" t="s">
        <v>42</v>
      </c>
      <c r="Q10" s="10" t="s">
        <v>43</v>
      </c>
      <c r="R10" s="12" t="s">
        <v>44</v>
      </c>
      <c r="S10" s="9" t="s">
        <v>45</v>
      </c>
      <c r="T10" s="34">
        <v>1</v>
      </c>
      <c r="U10" s="35">
        <v>2</v>
      </c>
      <c r="V10" s="36">
        <v>3</v>
      </c>
      <c r="W10" s="9" t="s">
        <v>46</v>
      </c>
      <c r="X10" s="13" t="s">
        <v>409</v>
      </c>
      <c r="Y10" s="9" t="s">
        <v>410</v>
      </c>
      <c r="Z10" s="10" t="s">
        <v>409</v>
      </c>
      <c r="AA10" s="31" t="s">
        <v>410</v>
      </c>
    </row>
    <row r="11" spans="1:27" s="94" customFormat="1" ht="18.75" customHeight="1" x14ac:dyDescent="0.35">
      <c r="A11" s="26"/>
      <c r="B11" s="14" t="s">
        <v>49</v>
      </c>
      <c r="C11" s="26">
        <v>27292</v>
      </c>
      <c r="D11" s="39">
        <v>13488</v>
      </c>
      <c r="E11" s="26">
        <v>13685</v>
      </c>
      <c r="F11" s="40">
        <v>3682</v>
      </c>
      <c r="G11" s="41">
        <v>7667</v>
      </c>
      <c r="H11" s="42">
        <v>7751</v>
      </c>
      <c r="I11" s="26">
        <v>8192</v>
      </c>
      <c r="J11" s="40">
        <v>2780</v>
      </c>
      <c r="K11" s="42">
        <v>9601</v>
      </c>
      <c r="L11" s="26">
        <v>12258</v>
      </c>
      <c r="M11" s="40">
        <v>2997</v>
      </c>
      <c r="N11" s="41">
        <v>14034</v>
      </c>
      <c r="O11" s="42">
        <v>2839</v>
      </c>
      <c r="P11" s="26">
        <v>6900</v>
      </c>
      <c r="Q11" s="40">
        <v>10494</v>
      </c>
      <c r="R11" s="42">
        <v>10245</v>
      </c>
      <c r="S11" s="26">
        <v>6421</v>
      </c>
      <c r="T11" s="40">
        <v>6218</v>
      </c>
      <c r="U11" s="41">
        <v>10287</v>
      </c>
      <c r="V11" s="42">
        <v>4457</v>
      </c>
      <c r="W11" s="26">
        <v>3439</v>
      </c>
      <c r="X11" s="39">
        <v>17539</v>
      </c>
      <c r="Y11" s="26">
        <v>8634</v>
      </c>
      <c r="Z11" s="40">
        <v>11191</v>
      </c>
      <c r="AA11" s="43">
        <v>14524</v>
      </c>
    </row>
    <row r="12" spans="1:27" s="94" customFormat="1" ht="18.75" customHeight="1" thickBot="1" x14ac:dyDescent="0.4">
      <c r="A12" s="26"/>
      <c r="B12" s="15" t="s">
        <v>50</v>
      </c>
      <c r="C12" s="44">
        <v>27292</v>
      </c>
      <c r="D12" s="45">
        <v>13117</v>
      </c>
      <c r="E12" s="46">
        <v>14056</v>
      </c>
      <c r="F12" s="45">
        <v>3535</v>
      </c>
      <c r="G12" s="47">
        <v>6272</v>
      </c>
      <c r="H12" s="47">
        <v>6843</v>
      </c>
      <c r="I12" s="46">
        <v>10643</v>
      </c>
      <c r="J12" s="45">
        <v>5987</v>
      </c>
      <c r="K12" s="47">
        <v>10797</v>
      </c>
      <c r="L12" s="46">
        <v>7855</v>
      </c>
      <c r="M12" s="45">
        <v>2765</v>
      </c>
      <c r="N12" s="47">
        <v>12846</v>
      </c>
      <c r="O12" s="47">
        <v>2724</v>
      </c>
      <c r="P12" s="46">
        <v>8517</v>
      </c>
      <c r="Q12" s="45">
        <v>10940</v>
      </c>
      <c r="R12" s="47">
        <v>9369</v>
      </c>
      <c r="S12" s="46">
        <v>6851</v>
      </c>
      <c r="T12" s="45">
        <v>7012</v>
      </c>
      <c r="U12" s="47">
        <v>10099</v>
      </c>
      <c r="V12" s="47">
        <v>3919</v>
      </c>
      <c r="W12" s="46">
        <v>2709</v>
      </c>
      <c r="X12" s="45">
        <v>18568</v>
      </c>
      <c r="Y12" s="46">
        <v>7508</v>
      </c>
      <c r="Z12" s="45">
        <v>11570</v>
      </c>
      <c r="AA12" s="48">
        <v>13901</v>
      </c>
    </row>
    <row r="13" spans="1:27" s="93" customFormat="1" ht="21" customHeight="1" x14ac:dyDescent="0.35">
      <c r="A13" s="65"/>
      <c r="B13" s="224">
        <v>1</v>
      </c>
      <c r="C13" s="63">
        <v>7012</v>
      </c>
      <c r="D13" s="64">
        <v>3286</v>
      </c>
      <c r="E13" s="65">
        <v>3706</v>
      </c>
      <c r="F13" s="66">
        <v>677</v>
      </c>
      <c r="G13" s="67">
        <v>1484</v>
      </c>
      <c r="H13" s="68">
        <v>1568</v>
      </c>
      <c r="I13" s="65">
        <v>3283</v>
      </c>
      <c r="J13" s="66">
        <v>1683</v>
      </c>
      <c r="K13" s="68">
        <v>2826</v>
      </c>
      <c r="L13" s="65">
        <v>1911</v>
      </c>
      <c r="M13" s="66">
        <v>677</v>
      </c>
      <c r="N13" s="67">
        <v>2990</v>
      </c>
      <c r="O13" s="68">
        <v>675</v>
      </c>
      <c r="P13" s="65">
        <v>2587</v>
      </c>
      <c r="Q13" s="66">
        <v>3294</v>
      </c>
      <c r="R13" s="68">
        <v>2295</v>
      </c>
      <c r="S13" s="65">
        <v>1411</v>
      </c>
      <c r="T13" s="66">
        <v>7012</v>
      </c>
      <c r="U13" s="67">
        <v>0</v>
      </c>
      <c r="V13" s="68">
        <v>0</v>
      </c>
      <c r="W13" s="65">
        <v>0</v>
      </c>
      <c r="X13" s="64">
        <v>4864</v>
      </c>
      <c r="Y13" s="65">
        <v>1844</v>
      </c>
      <c r="Z13" s="66">
        <v>2972</v>
      </c>
      <c r="AA13" s="69">
        <v>3581</v>
      </c>
    </row>
    <row r="14" spans="1:27" s="87" customFormat="1" ht="24" customHeight="1" x14ac:dyDescent="0.35">
      <c r="A14" s="1"/>
      <c r="B14" s="225"/>
      <c r="C14" s="49">
        <v>0.26</v>
      </c>
      <c r="D14" s="50">
        <v>0.25</v>
      </c>
      <c r="E14" s="51">
        <v>0.26</v>
      </c>
      <c r="F14" s="50">
        <v>0.19</v>
      </c>
      <c r="G14" s="51">
        <v>0.24</v>
      </c>
      <c r="H14" s="51">
        <v>0.23</v>
      </c>
      <c r="I14" s="51">
        <v>0.31</v>
      </c>
      <c r="J14" s="50">
        <v>0.28000000000000003</v>
      </c>
      <c r="K14" s="51">
        <v>0.26</v>
      </c>
      <c r="L14" s="51">
        <v>0.24</v>
      </c>
      <c r="M14" s="50">
        <v>0.24</v>
      </c>
      <c r="N14" s="51">
        <v>0.23</v>
      </c>
      <c r="O14" s="51">
        <v>0.25</v>
      </c>
      <c r="P14" s="51">
        <v>0.3</v>
      </c>
      <c r="Q14" s="50">
        <v>0.3</v>
      </c>
      <c r="R14" s="51">
        <v>0.24</v>
      </c>
      <c r="S14" s="51">
        <v>0.21</v>
      </c>
      <c r="T14" s="50">
        <v>1</v>
      </c>
      <c r="U14" s="51">
        <v>0</v>
      </c>
      <c r="V14" s="51">
        <v>0</v>
      </c>
      <c r="W14" s="51">
        <v>0</v>
      </c>
      <c r="X14" s="50">
        <v>0.26</v>
      </c>
      <c r="Y14" s="51">
        <v>0.25</v>
      </c>
      <c r="Z14" s="50">
        <v>0.26</v>
      </c>
      <c r="AA14" s="52">
        <v>0.26</v>
      </c>
    </row>
    <row r="15" spans="1:27" s="93" customFormat="1" ht="21" customHeight="1" x14ac:dyDescent="0.35">
      <c r="A15" s="65"/>
      <c r="B15" s="228">
        <v>2</v>
      </c>
      <c r="C15" s="63">
        <v>10099</v>
      </c>
      <c r="D15" s="70">
        <v>4773</v>
      </c>
      <c r="E15" s="65">
        <v>5302</v>
      </c>
      <c r="F15" s="71">
        <v>631</v>
      </c>
      <c r="G15" s="72">
        <v>2395</v>
      </c>
      <c r="H15" s="73">
        <v>2573</v>
      </c>
      <c r="I15" s="65">
        <v>4499</v>
      </c>
      <c r="J15" s="71">
        <v>1938</v>
      </c>
      <c r="K15" s="73">
        <v>4262</v>
      </c>
      <c r="L15" s="65">
        <v>3142</v>
      </c>
      <c r="M15" s="71">
        <v>822</v>
      </c>
      <c r="N15" s="72">
        <v>4984</v>
      </c>
      <c r="O15" s="73">
        <v>878</v>
      </c>
      <c r="P15" s="65">
        <v>3310</v>
      </c>
      <c r="Q15" s="71">
        <v>3973</v>
      </c>
      <c r="R15" s="73">
        <v>3463</v>
      </c>
      <c r="S15" s="65">
        <v>2654</v>
      </c>
      <c r="T15" s="71">
        <v>0</v>
      </c>
      <c r="U15" s="72">
        <v>10099</v>
      </c>
      <c r="V15" s="73">
        <v>0</v>
      </c>
      <c r="W15" s="65">
        <v>0</v>
      </c>
      <c r="X15" s="70">
        <v>6967</v>
      </c>
      <c r="Y15" s="65">
        <v>2758</v>
      </c>
      <c r="Z15" s="71">
        <v>4108</v>
      </c>
      <c r="AA15" s="74">
        <v>5392</v>
      </c>
    </row>
    <row r="16" spans="1:27" s="87" customFormat="1" ht="24" customHeight="1" x14ac:dyDescent="0.35">
      <c r="A16" s="1"/>
      <c r="B16" s="225"/>
      <c r="C16" s="49">
        <v>0.37</v>
      </c>
      <c r="D16" s="50">
        <v>0.36</v>
      </c>
      <c r="E16" s="51">
        <v>0.38</v>
      </c>
      <c r="F16" s="50">
        <v>0.18</v>
      </c>
      <c r="G16" s="51">
        <v>0.38</v>
      </c>
      <c r="H16" s="51">
        <v>0.38</v>
      </c>
      <c r="I16" s="51">
        <v>0.42</v>
      </c>
      <c r="J16" s="50">
        <v>0.31999999999999995</v>
      </c>
      <c r="K16" s="51">
        <v>0.4</v>
      </c>
      <c r="L16" s="51">
        <v>0.4</v>
      </c>
      <c r="M16" s="50">
        <v>0.30000000000000004</v>
      </c>
      <c r="N16" s="51">
        <v>0.39</v>
      </c>
      <c r="O16" s="51">
        <v>0.31999999999999995</v>
      </c>
      <c r="P16" s="51">
        <v>0.38999999999999996</v>
      </c>
      <c r="Q16" s="50">
        <v>0.36000000000000004</v>
      </c>
      <c r="R16" s="51">
        <v>0.37</v>
      </c>
      <c r="S16" s="51">
        <v>0.38</v>
      </c>
      <c r="T16" s="50">
        <v>0</v>
      </c>
      <c r="U16" s="51">
        <v>1</v>
      </c>
      <c r="V16" s="51">
        <v>0</v>
      </c>
      <c r="W16" s="51">
        <v>0</v>
      </c>
      <c r="X16" s="50">
        <v>0.38</v>
      </c>
      <c r="Y16" s="51">
        <v>0.36</v>
      </c>
      <c r="Z16" s="50">
        <v>0.35</v>
      </c>
      <c r="AA16" s="52">
        <v>0.39</v>
      </c>
    </row>
    <row r="17" spans="1:27" s="93" customFormat="1" ht="21" customHeight="1" x14ac:dyDescent="0.35">
      <c r="A17" s="65"/>
      <c r="B17" s="228">
        <v>3</v>
      </c>
      <c r="C17" s="63">
        <v>3919</v>
      </c>
      <c r="D17" s="70">
        <v>1880</v>
      </c>
      <c r="E17" s="65">
        <v>2025</v>
      </c>
      <c r="F17" s="71">
        <v>516</v>
      </c>
      <c r="G17" s="72">
        <v>782</v>
      </c>
      <c r="H17" s="73">
        <v>1276</v>
      </c>
      <c r="I17" s="65">
        <v>1346</v>
      </c>
      <c r="J17" s="71">
        <v>771</v>
      </c>
      <c r="K17" s="73">
        <v>1576</v>
      </c>
      <c r="L17" s="65">
        <v>1269</v>
      </c>
      <c r="M17" s="71">
        <v>426</v>
      </c>
      <c r="N17" s="72">
        <v>2084</v>
      </c>
      <c r="O17" s="73">
        <v>402</v>
      </c>
      <c r="P17" s="65">
        <v>968</v>
      </c>
      <c r="Q17" s="71">
        <v>1533</v>
      </c>
      <c r="R17" s="73">
        <v>1348</v>
      </c>
      <c r="S17" s="65">
        <v>1033</v>
      </c>
      <c r="T17" s="71">
        <v>0</v>
      </c>
      <c r="U17" s="72">
        <v>0</v>
      </c>
      <c r="V17" s="73">
        <v>3919</v>
      </c>
      <c r="W17" s="65">
        <v>0</v>
      </c>
      <c r="X17" s="70">
        <v>2583</v>
      </c>
      <c r="Y17" s="65">
        <v>1179</v>
      </c>
      <c r="Z17" s="71">
        <v>1692</v>
      </c>
      <c r="AA17" s="74">
        <v>2003</v>
      </c>
    </row>
    <row r="18" spans="1:27" s="87" customFormat="1" ht="24" customHeight="1" x14ac:dyDescent="0.35">
      <c r="A18" s="1"/>
      <c r="B18" s="225"/>
      <c r="C18" s="49">
        <v>0.14000000000000001</v>
      </c>
      <c r="D18" s="50">
        <v>0.15000000000000002</v>
      </c>
      <c r="E18" s="51">
        <v>0.14000000000000001</v>
      </c>
      <c r="F18" s="50">
        <v>0.15000000000000002</v>
      </c>
      <c r="G18" s="51">
        <v>0.12</v>
      </c>
      <c r="H18" s="51">
        <v>0.18000000000000005</v>
      </c>
      <c r="I18" s="51">
        <v>0.13</v>
      </c>
      <c r="J18" s="50">
        <v>0.13</v>
      </c>
      <c r="K18" s="51">
        <v>0.14000000000000001</v>
      </c>
      <c r="L18" s="51">
        <v>0.16000000000000003</v>
      </c>
      <c r="M18" s="50">
        <v>0.15999999999999992</v>
      </c>
      <c r="N18" s="51">
        <v>0.16000000000000003</v>
      </c>
      <c r="O18" s="51">
        <v>0.15000000000000002</v>
      </c>
      <c r="P18" s="51">
        <v>0.12000000000000011</v>
      </c>
      <c r="Q18" s="50">
        <v>0.14000000000000001</v>
      </c>
      <c r="R18" s="51">
        <v>0.15000000000000002</v>
      </c>
      <c r="S18" s="51">
        <v>0.15000000000000002</v>
      </c>
      <c r="T18" s="50">
        <v>0</v>
      </c>
      <c r="U18" s="51">
        <v>0</v>
      </c>
      <c r="V18" s="51">
        <v>1</v>
      </c>
      <c r="W18" s="51">
        <v>0</v>
      </c>
      <c r="X18" s="50">
        <v>0.14000000000000001</v>
      </c>
      <c r="Y18" s="51">
        <v>0.16000000000000003</v>
      </c>
      <c r="Z18" s="50">
        <v>0.15000000000000002</v>
      </c>
      <c r="AA18" s="52">
        <v>0.14000000000000001</v>
      </c>
    </row>
    <row r="19" spans="1:27" s="93" customFormat="1" ht="21" customHeight="1" x14ac:dyDescent="0.35">
      <c r="A19" s="65"/>
      <c r="B19" s="228" t="s">
        <v>46</v>
      </c>
      <c r="C19" s="63">
        <v>2709</v>
      </c>
      <c r="D19" s="70">
        <v>1363</v>
      </c>
      <c r="E19" s="65">
        <v>1334</v>
      </c>
      <c r="F19" s="71">
        <v>659</v>
      </c>
      <c r="G19" s="72">
        <v>553</v>
      </c>
      <c r="H19" s="73">
        <v>736</v>
      </c>
      <c r="I19" s="65">
        <v>761</v>
      </c>
      <c r="J19" s="71">
        <v>498</v>
      </c>
      <c r="K19" s="73">
        <v>1082</v>
      </c>
      <c r="L19" s="65">
        <v>842</v>
      </c>
      <c r="M19" s="71">
        <v>290</v>
      </c>
      <c r="N19" s="72">
        <v>1412</v>
      </c>
      <c r="O19" s="73">
        <v>298</v>
      </c>
      <c r="P19" s="65">
        <v>674</v>
      </c>
      <c r="Q19" s="71">
        <v>923</v>
      </c>
      <c r="R19" s="73">
        <v>927</v>
      </c>
      <c r="S19" s="65">
        <v>848</v>
      </c>
      <c r="T19" s="71">
        <v>0</v>
      </c>
      <c r="U19" s="72">
        <v>0</v>
      </c>
      <c r="V19" s="73">
        <v>0</v>
      </c>
      <c r="W19" s="65">
        <v>2709</v>
      </c>
      <c r="X19" s="70">
        <v>1766</v>
      </c>
      <c r="Y19" s="65">
        <v>826</v>
      </c>
      <c r="Z19" s="71">
        <v>1145</v>
      </c>
      <c r="AA19" s="74">
        <v>1419</v>
      </c>
    </row>
    <row r="20" spans="1:27" s="87" customFormat="1" ht="24" customHeight="1" x14ac:dyDescent="0.35">
      <c r="A20" s="1"/>
      <c r="B20" s="225"/>
      <c r="C20" s="49">
        <v>9.9999999999999978E-2</v>
      </c>
      <c r="D20" s="50">
        <v>9.9999999999999978E-2</v>
      </c>
      <c r="E20" s="51">
        <v>9.9999999999999978E-2</v>
      </c>
      <c r="F20" s="50">
        <v>0.17999999999999994</v>
      </c>
      <c r="G20" s="51">
        <v>8.9999999999999969E-2</v>
      </c>
      <c r="H20" s="51">
        <v>0.10999999999999999</v>
      </c>
      <c r="I20" s="51">
        <v>7.0000000000000062E-2</v>
      </c>
      <c r="J20" s="50">
        <v>8.9999999999999969E-2</v>
      </c>
      <c r="K20" s="51">
        <v>9.9999999999999978E-2</v>
      </c>
      <c r="L20" s="51">
        <v>0.10999999999999999</v>
      </c>
      <c r="M20" s="50">
        <v>0.10000000000000009</v>
      </c>
      <c r="N20" s="51">
        <v>0.10999999999999999</v>
      </c>
      <c r="O20" s="51">
        <v>0.10999999999999999</v>
      </c>
      <c r="P20" s="51">
        <v>7.999999999999996E-2</v>
      </c>
      <c r="Q20" s="50">
        <v>8.9999999999999969E-2</v>
      </c>
      <c r="R20" s="51">
        <v>9.9999999999999978E-2</v>
      </c>
      <c r="S20" s="51">
        <v>0.13</v>
      </c>
      <c r="T20" s="50">
        <v>0</v>
      </c>
      <c r="U20" s="51">
        <v>0</v>
      </c>
      <c r="V20" s="51">
        <v>0</v>
      </c>
      <c r="W20" s="51">
        <v>1</v>
      </c>
      <c r="X20" s="50">
        <v>8.9999999999999969E-2</v>
      </c>
      <c r="Y20" s="51">
        <v>0.10999999999999999</v>
      </c>
      <c r="Z20" s="50">
        <v>9.9999999999999978E-2</v>
      </c>
      <c r="AA20" s="52">
        <v>9.9999999999999978E-2</v>
      </c>
    </row>
    <row r="21" spans="1:27" s="93" customFormat="1" ht="21" customHeight="1" x14ac:dyDescent="0.35">
      <c r="A21" s="65"/>
      <c r="B21" s="232" t="s">
        <v>55</v>
      </c>
      <c r="C21" s="63">
        <v>3553</v>
      </c>
      <c r="D21" s="70">
        <v>1814</v>
      </c>
      <c r="E21" s="65">
        <v>1689</v>
      </c>
      <c r="F21" s="71">
        <v>1052</v>
      </c>
      <c r="G21" s="72">
        <v>1058</v>
      </c>
      <c r="H21" s="73">
        <v>689</v>
      </c>
      <c r="I21" s="65">
        <v>754</v>
      </c>
      <c r="J21" s="71">
        <v>1097</v>
      </c>
      <c r="K21" s="73">
        <v>1050</v>
      </c>
      <c r="L21" s="65">
        <v>691</v>
      </c>
      <c r="M21" s="71">
        <v>550</v>
      </c>
      <c r="N21" s="72">
        <v>1375</v>
      </c>
      <c r="O21" s="73">
        <v>471</v>
      </c>
      <c r="P21" s="65">
        <v>978</v>
      </c>
      <c r="Q21" s="71">
        <v>1216</v>
      </c>
      <c r="R21" s="73">
        <v>1336</v>
      </c>
      <c r="S21" s="65">
        <v>905</v>
      </c>
      <c r="T21" s="71">
        <v>0</v>
      </c>
      <c r="U21" s="72">
        <v>0</v>
      </c>
      <c r="V21" s="73">
        <v>0</v>
      </c>
      <c r="W21" s="65">
        <v>0</v>
      </c>
      <c r="X21" s="70">
        <v>2387</v>
      </c>
      <c r="Y21" s="65">
        <v>901</v>
      </c>
      <c r="Z21" s="71">
        <v>1652</v>
      </c>
      <c r="AA21" s="74">
        <v>1506</v>
      </c>
    </row>
    <row r="22" spans="1:27" s="87" customFormat="1" ht="24" customHeight="1" thickBot="1" x14ac:dyDescent="0.4">
      <c r="A22" s="1"/>
      <c r="B22" s="233"/>
      <c r="C22" s="59">
        <v>0.13</v>
      </c>
      <c r="D22" s="60">
        <v>0.14000000000000001</v>
      </c>
      <c r="E22" s="61">
        <v>0.12</v>
      </c>
      <c r="F22" s="60">
        <v>0.30000000000000004</v>
      </c>
      <c r="G22" s="61">
        <v>0.17000000000000004</v>
      </c>
      <c r="H22" s="61">
        <v>9.9999999999999978E-2</v>
      </c>
      <c r="I22" s="61">
        <v>6.9999999999999951E-2</v>
      </c>
      <c r="J22" s="60">
        <v>0.18000000000000005</v>
      </c>
      <c r="K22" s="61">
        <v>9.9999999999999978E-2</v>
      </c>
      <c r="L22" s="61">
        <v>8.9999999999999969E-2</v>
      </c>
      <c r="M22" s="60">
        <v>0.19999999999999996</v>
      </c>
      <c r="N22" s="61">
        <v>0.10999999999999999</v>
      </c>
      <c r="O22" s="61">
        <v>0.17000000000000004</v>
      </c>
      <c r="P22" s="61">
        <v>0.10999999999999999</v>
      </c>
      <c r="Q22" s="60">
        <v>0.10999999999999999</v>
      </c>
      <c r="R22" s="61">
        <v>0.14000000000000001</v>
      </c>
      <c r="S22" s="61">
        <v>0.13</v>
      </c>
      <c r="T22" s="60">
        <v>0</v>
      </c>
      <c r="U22" s="61">
        <v>0</v>
      </c>
      <c r="V22" s="61">
        <v>0</v>
      </c>
      <c r="W22" s="61">
        <v>0</v>
      </c>
      <c r="X22" s="60">
        <v>0.13</v>
      </c>
      <c r="Y22" s="61">
        <v>0.12</v>
      </c>
      <c r="Z22" s="60">
        <v>0.14000000000000001</v>
      </c>
      <c r="AA22" s="62">
        <v>0.10999999999999999</v>
      </c>
    </row>
    <row r="23" spans="1:27" s="93" customFormat="1" ht="21" customHeight="1" x14ac:dyDescent="0.35">
      <c r="A23" s="65"/>
      <c r="B23" s="3"/>
      <c r="C23" s="63"/>
      <c r="D23" s="65"/>
      <c r="E23" s="65"/>
      <c r="F23" s="65"/>
      <c r="G23" s="65"/>
      <c r="H23" s="65"/>
      <c r="I23" s="65"/>
      <c r="J23" s="65"/>
      <c r="K23" s="65"/>
      <c r="L23" s="65"/>
      <c r="M23" s="65"/>
      <c r="N23" s="65"/>
      <c r="O23" s="65"/>
      <c r="P23" s="65"/>
      <c r="Q23" s="65"/>
      <c r="R23" s="65"/>
      <c r="S23" s="65"/>
      <c r="T23" s="65"/>
      <c r="U23" s="65"/>
      <c r="V23" s="65"/>
      <c r="W23" s="65"/>
      <c r="X23" s="65"/>
      <c r="Y23" s="65"/>
      <c r="Z23" s="65"/>
      <c r="AA23" s="65"/>
    </row>
    <row r="24" spans="1:27" s="87" customFormat="1" ht="24" customHeight="1" x14ac:dyDescent="0.35">
      <c r="A24" s="1"/>
      <c r="B24" s="3"/>
      <c r="C24" s="2"/>
      <c r="D24" s="1"/>
      <c r="E24" s="1"/>
      <c r="F24" s="1"/>
      <c r="G24" s="1"/>
      <c r="H24" s="1"/>
      <c r="I24" s="1"/>
      <c r="J24" s="1"/>
      <c r="K24" s="1"/>
      <c r="L24" s="1"/>
      <c r="M24" s="1"/>
      <c r="N24" s="1"/>
      <c r="O24" s="1"/>
      <c r="P24" s="1"/>
      <c r="Q24" s="1"/>
      <c r="R24" s="1"/>
      <c r="S24" s="1"/>
      <c r="T24" s="1"/>
      <c r="U24" s="1"/>
      <c r="V24" s="1"/>
      <c r="W24" s="1"/>
      <c r="X24" s="1"/>
      <c r="Y24" s="1"/>
      <c r="Z24" s="1"/>
      <c r="AA24" s="1"/>
    </row>
    <row r="25" spans="1:27" s="93" customFormat="1" ht="21" customHeight="1" x14ac:dyDescent="0.35">
      <c r="A25" s="65"/>
      <c r="B25" s="3"/>
      <c r="C25" s="63"/>
      <c r="D25" s="65"/>
      <c r="E25" s="65"/>
      <c r="F25" s="65"/>
      <c r="G25" s="65"/>
      <c r="H25" s="65"/>
      <c r="I25" s="65"/>
      <c r="J25" s="65"/>
      <c r="K25" s="65"/>
      <c r="L25" s="65"/>
      <c r="M25" s="65"/>
      <c r="N25" s="65"/>
      <c r="O25" s="65"/>
      <c r="P25" s="65"/>
      <c r="Q25" s="65"/>
      <c r="R25" s="65"/>
      <c r="S25" s="65"/>
      <c r="T25" s="65"/>
      <c r="U25" s="65"/>
      <c r="V25" s="65"/>
      <c r="W25" s="65"/>
      <c r="X25" s="65"/>
      <c r="Y25" s="65"/>
      <c r="Z25" s="65"/>
      <c r="AA25" s="65"/>
    </row>
    <row r="26" spans="1:27" s="87" customFormat="1" ht="24" customHeight="1" x14ac:dyDescent="0.35">
      <c r="A26" s="1"/>
      <c r="B26" s="3"/>
      <c r="C26" s="2"/>
      <c r="D26" s="1"/>
      <c r="E26" s="1"/>
      <c r="F26" s="1"/>
      <c r="G26" s="1"/>
      <c r="H26" s="1"/>
      <c r="I26" s="1"/>
      <c r="J26" s="1"/>
      <c r="K26" s="1"/>
      <c r="L26" s="1"/>
      <c r="M26" s="1"/>
      <c r="N26" s="1"/>
      <c r="O26" s="1"/>
      <c r="P26" s="1"/>
      <c r="Q26" s="1"/>
      <c r="R26" s="1"/>
      <c r="S26" s="1"/>
      <c r="T26" s="1"/>
      <c r="U26" s="1"/>
      <c r="V26" s="1"/>
      <c r="W26" s="1"/>
      <c r="X26" s="1"/>
      <c r="Y26" s="1"/>
      <c r="Z26" s="1"/>
      <c r="AA26" s="1"/>
    </row>
    <row r="27" spans="1:27" x14ac:dyDescent="0.4"/>
    <row r="28" spans="1:27" ht="24" customHeight="1" x14ac:dyDescent="0.4"/>
    <row r="29" spans="1:27" x14ac:dyDescent="0.4">
      <c r="B29" s="1"/>
    </row>
    <row r="30" spans="1:27" ht="24" customHeight="1" x14ac:dyDescent="0.4"/>
    <row r="31" spans="1:27" x14ac:dyDescent="0.4"/>
    <row r="32" spans="1:27" ht="24" customHeight="1" x14ac:dyDescent="0.4"/>
    <row r="33" x14ac:dyDescent="0.4"/>
    <row r="34" ht="24" customHeight="1" x14ac:dyDescent="0.4"/>
    <row r="35" x14ac:dyDescent="0.4"/>
    <row r="36" ht="24" customHeight="1" x14ac:dyDescent="0.4"/>
  </sheetData>
  <mergeCells count="13">
    <mergeCell ref="B15:B16"/>
    <mergeCell ref="B17:B18"/>
    <mergeCell ref="B19:B20"/>
    <mergeCell ref="B21:B22"/>
    <mergeCell ref="T9:W9"/>
    <mergeCell ref="X9:Y9"/>
    <mergeCell ref="Z9:AA9"/>
    <mergeCell ref="B13:B14"/>
    <mergeCell ref="D9:E9"/>
    <mergeCell ref="F9:I9"/>
    <mergeCell ref="J9:L9"/>
    <mergeCell ref="M9:P9"/>
    <mergeCell ref="Q9:S9"/>
  </mergeCells>
  <hyperlinks>
    <hyperlink ref="B1" location="'Table of Contents'!A1" display="Home" xr:uid="{801ACFDD-773C-7447-AC3F-E1E201239FC6}"/>
  </hyperlinks>
  <pageMargins left="0.7" right="0.7" top="0.75" bottom="0.75" header="0.511811023622047" footer="0.511811023622047"/>
  <pageSetup paperSize="9" orientation="portrait" useFirstPageNumber="1"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Feuil29"/>
  <dimension ref="A1:AA32"/>
  <sheetViews>
    <sheetView showGridLines="0" zoomScale="60" zoomScaleNormal="60" workbookViewId="0"/>
  </sheetViews>
  <sheetFormatPr defaultColWidth="20.6328125" defaultRowHeight="19" customHeight="1" x14ac:dyDescent="0.4"/>
  <cols>
    <col min="1" max="1" width="8.81640625" style="101" customWidth="1"/>
    <col min="2" max="2" width="100.6328125" style="3" customWidth="1"/>
    <col min="3" max="3" width="20.6328125" style="2"/>
    <col min="4" max="23" width="20.6328125" style="1"/>
    <col min="24" max="27" width="20.6328125" style="101"/>
    <col min="28" max="16384" width="20.6328125" style="102"/>
  </cols>
  <sheetData>
    <row r="1" spans="1:27" x14ac:dyDescent="0.4">
      <c r="B1" s="37" t="s">
        <v>0</v>
      </c>
    </row>
    <row r="2" spans="1:27" x14ac:dyDescent="0.4">
      <c r="B2" s="3" t="s">
        <v>442</v>
      </c>
    </row>
    <row r="3" spans="1:27" x14ac:dyDescent="0.4">
      <c r="B3" s="3" t="s">
        <v>1</v>
      </c>
      <c r="D3" s="2"/>
      <c r="E3" s="2"/>
      <c r="F3" s="2"/>
      <c r="G3" s="2"/>
      <c r="H3" s="2"/>
      <c r="I3" s="2"/>
      <c r="J3" s="2"/>
      <c r="K3" s="2"/>
      <c r="L3" s="2"/>
      <c r="M3" s="2"/>
      <c r="N3" s="2"/>
      <c r="O3" s="2"/>
      <c r="P3" s="2"/>
      <c r="Q3" s="2"/>
      <c r="R3" s="2"/>
      <c r="S3" s="2"/>
      <c r="T3" s="2"/>
      <c r="U3" s="2"/>
      <c r="V3" s="2"/>
      <c r="W3" s="2"/>
    </row>
    <row r="4" spans="1:27" x14ac:dyDescent="0.4">
      <c r="B4" s="3" t="s">
        <v>2</v>
      </c>
    </row>
    <row r="6" spans="1:27" s="217" customFormat="1" ht="19" customHeight="1" x14ac:dyDescent="0.5">
      <c r="A6" s="216"/>
      <c r="B6" s="28" t="s">
        <v>404</v>
      </c>
      <c r="C6" s="2"/>
      <c r="D6" s="2"/>
      <c r="E6" s="2"/>
      <c r="F6" s="2"/>
      <c r="G6" s="2"/>
      <c r="H6" s="2"/>
      <c r="I6" s="2"/>
      <c r="J6" s="2"/>
      <c r="K6" s="2"/>
      <c r="L6" s="2"/>
      <c r="M6" s="2"/>
      <c r="N6" s="2"/>
      <c r="O6" s="2"/>
      <c r="P6" s="2"/>
      <c r="Q6" s="2"/>
      <c r="R6" s="2"/>
      <c r="S6" s="2"/>
      <c r="T6" s="2"/>
      <c r="U6" s="2"/>
      <c r="V6" s="2"/>
      <c r="W6" s="2"/>
      <c r="X6" s="216"/>
      <c r="Y6" s="216"/>
      <c r="Z6" s="216"/>
      <c r="AA6" s="216"/>
    </row>
    <row r="7" spans="1:27" ht="19.5" customHeight="1" x14ac:dyDescent="0.4">
      <c r="B7" s="215" t="s">
        <v>415</v>
      </c>
    </row>
    <row r="8" spans="1:27" ht="19.5" customHeight="1" thickBot="1" x14ac:dyDescent="0.45"/>
    <row r="9" spans="1:27" ht="19.5" customHeight="1" x14ac:dyDescent="0.4">
      <c r="B9" s="5"/>
      <c r="C9" s="6" t="s">
        <v>21</v>
      </c>
      <c r="D9" s="221" t="s">
        <v>22</v>
      </c>
      <c r="E9" s="222"/>
      <c r="F9" s="221" t="s">
        <v>23</v>
      </c>
      <c r="G9" s="222"/>
      <c r="H9" s="222"/>
      <c r="I9" s="222"/>
      <c r="J9" s="221" t="s">
        <v>24</v>
      </c>
      <c r="K9" s="222"/>
      <c r="L9" s="222"/>
      <c r="M9" s="221" t="s">
        <v>25</v>
      </c>
      <c r="N9" s="222"/>
      <c r="O9" s="222"/>
      <c r="P9" s="222"/>
      <c r="Q9" s="221" t="s">
        <v>26</v>
      </c>
      <c r="R9" s="222"/>
      <c r="S9" s="222"/>
      <c r="T9" s="221" t="s">
        <v>27</v>
      </c>
      <c r="U9" s="222"/>
      <c r="V9" s="222"/>
      <c r="W9" s="222"/>
      <c r="X9" s="221" t="s">
        <v>28</v>
      </c>
      <c r="Y9" s="222"/>
      <c r="Z9" s="221" t="s">
        <v>29</v>
      </c>
      <c r="AA9" s="223"/>
    </row>
    <row r="10" spans="1:27" s="89" customFormat="1" ht="57" customHeight="1" thickBot="1" x14ac:dyDescent="0.45">
      <c r="A10" s="2"/>
      <c r="B10" s="91"/>
      <c r="C10" s="7" t="e" vm="1">
        <v>#VALUE!</v>
      </c>
      <c r="D10" s="8" t="s">
        <v>30</v>
      </c>
      <c r="E10" s="9" t="s">
        <v>31</v>
      </c>
      <c r="F10" s="10" t="s">
        <v>32</v>
      </c>
      <c r="G10" s="11" t="s">
        <v>33</v>
      </c>
      <c r="H10" s="12" t="s">
        <v>34</v>
      </c>
      <c r="I10" s="9" t="s">
        <v>35</v>
      </c>
      <c r="J10" s="10" t="s">
        <v>36</v>
      </c>
      <c r="K10" s="12" t="s">
        <v>37</v>
      </c>
      <c r="L10" s="9" t="s">
        <v>38</v>
      </c>
      <c r="M10" s="10" t="s">
        <v>39</v>
      </c>
      <c r="N10" s="11" t="s">
        <v>40</v>
      </c>
      <c r="O10" s="12" t="s">
        <v>41</v>
      </c>
      <c r="P10" s="9" t="s">
        <v>42</v>
      </c>
      <c r="Q10" s="10" t="s">
        <v>43</v>
      </c>
      <c r="R10" s="12" t="s">
        <v>44</v>
      </c>
      <c r="S10" s="9" t="s">
        <v>45</v>
      </c>
      <c r="T10" s="34">
        <v>1</v>
      </c>
      <c r="U10" s="35">
        <v>2</v>
      </c>
      <c r="V10" s="36">
        <v>3</v>
      </c>
      <c r="W10" s="9" t="s">
        <v>46</v>
      </c>
      <c r="X10" s="13" t="s">
        <v>409</v>
      </c>
      <c r="Y10" s="9" t="s">
        <v>410</v>
      </c>
      <c r="Z10" s="10" t="s">
        <v>409</v>
      </c>
      <c r="AA10" s="31" t="s">
        <v>410</v>
      </c>
    </row>
    <row r="11" spans="1:27" s="94" customFormat="1" ht="18.75" customHeight="1" x14ac:dyDescent="0.35">
      <c r="A11" s="213"/>
      <c r="B11" s="29" t="s">
        <v>49</v>
      </c>
      <c r="C11" s="26">
        <v>27292</v>
      </c>
      <c r="D11" s="39">
        <v>13488</v>
      </c>
      <c r="E11" s="26">
        <v>13685</v>
      </c>
      <c r="F11" s="40">
        <v>3682</v>
      </c>
      <c r="G11" s="41">
        <v>7667</v>
      </c>
      <c r="H11" s="42">
        <v>7751</v>
      </c>
      <c r="I11" s="26">
        <v>8192</v>
      </c>
      <c r="J11" s="40">
        <v>2780</v>
      </c>
      <c r="K11" s="42">
        <v>9601</v>
      </c>
      <c r="L11" s="26">
        <v>12258</v>
      </c>
      <c r="M11" s="40">
        <v>2997</v>
      </c>
      <c r="N11" s="41">
        <v>14034</v>
      </c>
      <c r="O11" s="42">
        <v>2839</v>
      </c>
      <c r="P11" s="26">
        <v>6900</v>
      </c>
      <c r="Q11" s="40">
        <v>10494</v>
      </c>
      <c r="R11" s="42">
        <v>10245</v>
      </c>
      <c r="S11" s="26">
        <v>6421</v>
      </c>
      <c r="T11" s="40">
        <v>6218</v>
      </c>
      <c r="U11" s="41">
        <v>10287</v>
      </c>
      <c r="V11" s="42">
        <v>4457</v>
      </c>
      <c r="W11" s="26">
        <v>3439</v>
      </c>
      <c r="X11" s="39">
        <v>17539</v>
      </c>
      <c r="Y11" s="26">
        <v>8634</v>
      </c>
      <c r="Z11" s="40">
        <v>11191</v>
      </c>
      <c r="AA11" s="43">
        <v>14524</v>
      </c>
    </row>
    <row r="12" spans="1:27" s="94" customFormat="1" ht="18.75" customHeight="1" thickBot="1" x14ac:dyDescent="0.4">
      <c r="A12" s="213"/>
      <c r="B12" s="30" t="s">
        <v>50</v>
      </c>
      <c r="C12" s="44">
        <v>27292</v>
      </c>
      <c r="D12" s="45">
        <v>13117</v>
      </c>
      <c r="E12" s="46">
        <v>14056</v>
      </c>
      <c r="F12" s="45">
        <v>3535</v>
      </c>
      <c r="G12" s="47">
        <v>6272</v>
      </c>
      <c r="H12" s="47">
        <v>6843</v>
      </c>
      <c r="I12" s="46">
        <v>10643</v>
      </c>
      <c r="J12" s="45">
        <v>5987</v>
      </c>
      <c r="K12" s="47">
        <v>10797</v>
      </c>
      <c r="L12" s="46">
        <v>7855</v>
      </c>
      <c r="M12" s="45">
        <v>2765</v>
      </c>
      <c r="N12" s="47">
        <v>12846</v>
      </c>
      <c r="O12" s="47">
        <v>2724</v>
      </c>
      <c r="P12" s="46">
        <v>8517</v>
      </c>
      <c r="Q12" s="45">
        <v>10940</v>
      </c>
      <c r="R12" s="47">
        <v>9369</v>
      </c>
      <c r="S12" s="46">
        <v>6851</v>
      </c>
      <c r="T12" s="45">
        <v>7012</v>
      </c>
      <c r="U12" s="47">
        <v>10099</v>
      </c>
      <c r="V12" s="47">
        <v>3919</v>
      </c>
      <c r="W12" s="46">
        <v>2709</v>
      </c>
      <c r="X12" s="45">
        <v>18568</v>
      </c>
      <c r="Y12" s="46">
        <v>7508</v>
      </c>
      <c r="Z12" s="45">
        <v>11570</v>
      </c>
      <c r="AA12" s="48">
        <v>13901</v>
      </c>
    </row>
    <row r="13" spans="1:27" s="93" customFormat="1" ht="21" customHeight="1" x14ac:dyDescent="0.35">
      <c r="A13" s="214"/>
      <c r="B13" s="224">
        <v>0</v>
      </c>
      <c r="C13" s="63">
        <v>16757</v>
      </c>
      <c r="D13" s="64">
        <v>7909</v>
      </c>
      <c r="E13" s="65">
        <v>8805</v>
      </c>
      <c r="F13" s="66">
        <v>1580</v>
      </c>
      <c r="G13" s="67">
        <v>2278</v>
      </c>
      <c r="H13" s="68">
        <v>3489</v>
      </c>
      <c r="I13" s="65">
        <v>9410</v>
      </c>
      <c r="J13" s="66">
        <v>3467</v>
      </c>
      <c r="K13" s="68">
        <v>7443</v>
      </c>
      <c r="L13" s="65">
        <v>4635</v>
      </c>
      <c r="M13" s="66">
        <v>1427</v>
      </c>
      <c r="N13" s="67">
        <v>6886</v>
      </c>
      <c r="O13" s="68">
        <v>1479</v>
      </c>
      <c r="P13" s="65">
        <v>6764</v>
      </c>
      <c r="Q13" s="66">
        <v>6624</v>
      </c>
      <c r="R13" s="68">
        <v>5905</v>
      </c>
      <c r="S13" s="65">
        <v>4209</v>
      </c>
      <c r="T13" s="66">
        <v>5127</v>
      </c>
      <c r="U13" s="67">
        <v>6530</v>
      </c>
      <c r="V13" s="68">
        <v>2435</v>
      </c>
      <c r="W13" s="65">
        <v>1658</v>
      </c>
      <c r="X13" s="64">
        <v>11196</v>
      </c>
      <c r="Y13" s="65">
        <v>4812</v>
      </c>
      <c r="Z13" s="66">
        <v>6694</v>
      </c>
      <c r="AA13" s="69">
        <v>8971</v>
      </c>
    </row>
    <row r="14" spans="1:27" s="87" customFormat="1" ht="24" customHeight="1" x14ac:dyDescent="0.35">
      <c r="A14" s="55"/>
      <c r="B14" s="225"/>
      <c r="C14" s="49">
        <v>0.61</v>
      </c>
      <c r="D14" s="50">
        <v>0.6</v>
      </c>
      <c r="E14" s="51">
        <v>0.63</v>
      </c>
      <c r="F14" s="50">
        <v>0.45</v>
      </c>
      <c r="G14" s="51">
        <v>0.36</v>
      </c>
      <c r="H14" s="51">
        <v>0.51</v>
      </c>
      <c r="I14" s="51">
        <v>0.88</v>
      </c>
      <c r="J14" s="50">
        <v>0.57999999999999996</v>
      </c>
      <c r="K14" s="51">
        <v>0.69</v>
      </c>
      <c r="L14" s="51">
        <v>0.59</v>
      </c>
      <c r="M14" s="50">
        <v>0.52</v>
      </c>
      <c r="N14" s="51">
        <v>0.54</v>
      </c>
      <c r="O14" s="51">
        <v>0.54</v>
      </c>
      <c r="P14" s="51">
        <v>0.79</v>
      </c>
      <c r="Q14" s="50">
        <v>0.61</v>
      </c>
      <c r="R14" s="51">
        <v>0.63</v>
      </c>
      <c r="S14" s="51">
        <v>0.61</v>
      </c>
      <c r="T14" s="50">
        <v>0.73</v>
      </c>
      <c r="U14" s="51">
        <v>0.65</v>
      </c>
      <c r="V14" s="51">
        <v>0.62</v>
      </c>
      <c r="W14" s="51">
        <v>0.61</v>
      </c>
      <c r="X14" s="50">
        <v>0.6</v>
      </c>
      <c r="Y14" s="51">
        <v>0.64</v>
      </c>
      <c r="Z14" s="50">
        <v>0.57999999999999996</v>
      </c>
      <c r="AA14" s="52">
        <v>0.65</v>
      </c>
    </row>
    <row r="15" spans="1:27" s="93" customFormat="1" ht="21" customHeight="1" x14ac:dyDescent="0.35">
      <c r="A15" s="214"/>
      <c r="B15" s="228" t="s">
        <v>405</v>
      </c>
      <c r="C15" s="63">
        <v>4980</v>
      </c>
      <c r="D15" s="70">
        <v>2441</v>
      </c>
      <c r="E15" s="65">
        <v>2520</v>
      </c>
      <c r="F15" s="71">
        <v>717</v>
      </c>
      <c r="G15" s="72">
        <v>1865</v>
      </c>
      <c r="H15" s="73">
        <v>1847</v>
      </c>
      <c r="I15" s="65">
        <v>551</v>
      </c>
      <c r="J15" s="71">
        <v>1094</v>
      </c>
      <c r="K15" s="73">
        <v>1786</v>
      </c>
      <c r="L15" s="65">
        <v>1664</v>
      </c>
      <c r="M15" s="71">
        <v>544</v>
      </c>
      <c r="N15" s="72">
        <v>3250</v>
      </c>
      <c r="O15" s="73">
        <v>527</v>
      </c>
      <c r="P15" s="65">
        <v>623</v>
      </c>
      <c r="Q15" s="71">
        <v>2192</v>
      </c>
      <c r="R15" s="73">
        <v>1583</v>
      </c>
      <c r="S15" s="65">
        <v>1195</v>
      </c>
      <c r="T15" s="71">
        <v>1343</v>
      </c>
      <c r="U15" s="72">
        <v>1837</v>
      </c>
      <c r="V15" s="73">
        <v>999</v>
      </c>
      <c r="W15" s="65">
        <v>481</v>
      </c>
      <c r="X15" s="70">
        <v>3600</v>
      </c>
      <c r="Y15" s="65">
        <v>1252</v>
      </c>
      <c r="Z15" s="71">
        <v>2405</v>
      </c>
      <c r="AA15" s="74">
        <v>2311</v>
      </c>
    </row>
    <row r="16" spans="1:27" s="87" customFormat="1" ht="24" customHeight="1" x14ac:dyDescent="0.35">
      <c r="A16" s="55"/>
      <c r="B16" s="225"/>
      <c r="C16" s="49">
        <v>0.19000000000000006</v>
      </c>
      <c r="D16" s="50">
        <v>0.19000000000000006</v>
      </c>
      <c r="E16" s="51">
        <v>0.18000000000000005</v>
      </c>
      <c r="F16" s="50">
        <v>0.2</v>
      </c>
      <c r="G16" s="51">
        <v>0.30000000000000004</v>
      </c>
      <c r="H16" s="51">
        <v>0.27</v>
      </c>
      <c r="I16" s="51">
        <v>5.9999999999999942E-2</v>
      </c>
      <c r="J16" s="50">
        <v>0.18000000000000005</v>
      </c>
      <c r="K16" s="51">
        <v>0.16000000000000003</v>
      </c>
      <c r="L16" s="51">
        <v>0.21000000000000008</v>
      </c>
      <c r="M16" s="50">
        <v>0.18999999999999995</v>
      </c>
      <c r="N16" s="51">
        <v>0.25</v>
      </c>
      <c r="O16" s="51">
        <v>0.19999999999999996</v>
      </c>
      <c r="P16" s="51">
        <v>7.999999999999996E-2</v>
      </c>
      <c r="Q16" s="50">
        <v>0.20000000000000007</v>
      </c>
      <c r="R16" s="51">
        <v>0.17000000000000004</v>
      </c>
      <c r="S16" s="51">
        <v>0.18000000000000005</v>
      </c>
      <c r="T16" s="50">
        <v>0.19000000000000006</v>
      </c>
      <c r="U16" s="51">
        <v>0.17999999999999994</v>
      </c>
      <c r="V16" s="51">
        <v>0.26</v>
      </c>
      <c r="W16" s="51">
        <v>0.18000000000000005</v>
      </c>
      <c r="X16" s="50">
        <v>0.20000000000000007</v>
      </c>
      <c r="Y16" s="51">
        <v>0.17000000000000004</v>
      </c>
      <c r="Z16" s="50">
        <v>0.21000000000000008</v>
      </c>
      <c r="AA16" s="52">
        <v>0.16000000000000003</v>
      </c>
    </row>
    <row r="17" spans="1:27" s="93" customFormat="1" ht="21" customHeight="1" x14ac:dyDescent="0.35">
      <c r="A17" s="214"/>
      <c r="B17" s="228" t="s">
        <v>406</v>
      </c>
      <c r="C17" s="63">
        <v>2241</v>
      </c>
      <c r="D17" s="70">
        <v>1099</v>
      </c>
      <c r="E17" s="65">
        <v>1137</v>
      </c>
      <c r="F17" s="71">
        <v>276</v>
      </c>
      <c r="G17" s="72">
        <v>1004</v>
      </c>
      <c r="H17" s="73">
        <v>824</v>
      </c>
      <c r="I17" s="65">
        <v>137</v>
      </c>
      <c r="J17" s="71">
        <v>448</v>
      </c>
      <c r="K17" s="73">
        <v>707</v>
      </c>
      <c r="L17" s="65">
        <v>828</v>
      </c>
      <c r="M17" s="71">
        <v>245</v>
      </c>
      <c r="N17" s="72">
        <v>1347</v>
      </c>
      <c r="O17" s="73">
        <v>296</v>
      </c>
      <c r="P17" s="65">
        <v>322</v>
      </c>
      <c r="Q17" s="71">
        <v>907</v>
      </c>
      <c r="R17" s="73">
        <v>747</v>
      </c>
      <c r="S17" s="65">
        <v>581</v>
      </c>
      <c r="T17" s="71">
        <v>229</v>
      </c>
      <c r="U17" s="72">
        <v>1248</v>
      </c>
      <c r="V17" s="73">
        <v>270</v>
      </c>
      <c r="W17" s="65">
        <v>331</v>
      </c>
      <c r="X17" s="70">
        <v>1552</v>
      </c>
      <c r="Y17" s="65">
        <v>594</v>
      </c>
      <c r="Z17" s="71">
        <v>1001</v>
      </c>
      <c r="AA17" s="74">
        <v>1140</v>
      </c>
    </row>
    <row r="18" spans="1:27" s="87" customFormat="1" ht="24" customHeight="1" x14ac:dyDescent="0.35">
      <c r="A18" s="55"/>
      <c r="B18" s="225"/>
      <c r="C18" s="49">
        <v>7.999999999999996E-2</v>
      </c>
      <c r="D18" s="50">
        <v>7.999999999999996E-2</v>
      </c>
      <c r="E18" s="51">
        <v>7.999999999999996E-2</v>
      </c>
      <c r="F18" s="50">
        <v>7.999999999999996E-2</v>
      </c>
      <c r="G18" s="51">
        <v>0.15999999999999992</v>
      </c>
      <c r="H18" s="51">
        <v>0.12</v>
      </c>
      <c r="I18" s="51">
        <v>1.0000000000000009E-2</v>
      </c>
      <c r="J18" s="50">
        <v>7.999999999999996E-2</v>
      </c>
      <c r="K18" s="51">
        <v>7.0000000000000062E-2</v>
      </c>
      <c r="L18" s="51">
        <v>0.10999999999999999</v>
      </c>
      <c r="M18" s="50">
        <v>9.000000000000008E-2</v>
      </c>
      <c r="N18" s="51">
        <v>9.9999999999999978E-2</v>
      </c>
      <c r="O18" s="51">
        <v>9.9999999999999978E-2</v>
      </c>
      <c r="P18" s="51">
        <v>4.0000000000000036E-2</v>
      </c>
      <c r="Q18" s="50">
        <v>7.999999999999996E-2</v>
      </c>
      <c r="R18" s="51">
        <v>7.999999999999996E-2</v>
      </c>
      <c r="S18" s="51">
        <v>7.999999999999996E-2</v>
      </c>
      <c r="T18" s="50">
        <v>3.9999999999999925E-2</v>
      </c>
      <c r="U18" s="51">
        <v>0.12</v>
      </c>
      <c r="V18" s="51">
        <v>6.9999999999999951E-2</v>
      </c>
      <c r="W18" s="51">
        <v>0.12</v>
      </c>
      <c r="X18" s="50">
        <v>7.999999999999996E-2</v>
      </c>
      <c r="Y18" s="51">
        <v>7.999999999999996E-2</v>
      </c>
      <c r="Z18" s="50">
        <v>7.999999999999996E-2</v>
      </c>
      <c r="AA18" s="52">
        <v>7.999999999999996E-2</v>
      </c>
    </row>
    <row r="19" spans="1:27" s="93" customFormat="1" ht="21" customHeight="1" x14ac:dyDescent="0.35">
      <c r="A19" s="214"/>
      <c r="B19" s="228" t="s">
        <v>407</v>
      </c>
      <c r="C19" s="63">
        <v>495</v>
      </c>
      <c r="D19" s="70">
        <v>227</v>
      </c>
      <c r="E19" s="65">
        <v>266</v>
      </c>
      <c r="F19" s="71">
        <v>109</v>
      </c>
      <c r="G19" s="72">
        <v>219</v>
      </c>
      <c r="H19" s="73">
        <v>148</v>
      </c>
      <c r="I19" s="65">
        <v>18</v>
      </c>
      <c r="J19" s="71">
        <v>123</v>
      </c>
      <c r="K19" s="73">
        <v>163</v>
      </c>
      <c r="L19" s="65">
        <v>147</v>
      </c>
      <c r="M19" s="71">
        <v>78</v>
      </c>
      <c r="N19" s="72">
        <v>250</v>
      </c>
      <c r="O19" s="73">
        <v>62</v>
      </c>
      <c r="P19" s="65">
        <v>96</v>
      </c>
      <c r="Q19" s="71">
        <v>188</v>
      </c>
      <c r="R19" s="73">
        <v>127</v>
      </c>
      <c r="S19" s="65">
        <v>177</v>
      </c>
      <c r="T19" s="71">
        <v>43</v>
      </c>
      <c r="U19" s="72">
        <v>225</v>
      </c>
      <c r="V19" s="73">
        <v>112</v>
      </c>
      <c r="W19" s="65">
        <v>72</v>
      </c>
      <c r="X19" s="70">
        <v>370</v>
      </c>
      <c r="Y19" s="65">
        <v>107</v>
      </c>
      <c r="Z19" s="71">
        <v>237</v>
      </c>
      <c r="AA19" s="74">
        <v>229</v>
      </c>
    </row>
    <row r="20" spans="1:27" s="87" customFormat="1" ht="24" customHeight="1" x14ac:dyDescent="0.35">
      <c r="A20" s="55"/>
      <c r="B20" s="225"/>
      <c r="C20" s="49">
        <v>2.0000000000000018E-2</v>
      </c>
      <c r="D20" s="50">
        <v>2.0000000000000018E-2</v>
      </c>
      <c r="E20" s="51">
        <v>2.0000000000000018E-2</v>
      </c>
      <c r="F20" s="50">
        <v>3.0000000000000027E-2</v>
      </c>
      <c r="G20" s="51">
        <v>4.0000000000000036E-2</v>
      </c>
      <c r="H20" s="51">
        <v>2.0000000000000018E-2</v>
      </c>
      <c r="I20" s="51">
        <v>0</v>
      </c>
      <c r="J20" s="50">
        <v>2.0000000000000018E-2</v>
      </c>
      <c r="K20" s="51">
        <v>1.9999999999999907E-2</v>
      </c>
      <c r="L20" s="51">
        <v>2.0000000000000018E-2</v>
      </c>
      <c r="M20" s="50">
        <v>2.9999999999999916E-2</v>
      </c>
      <c r="N20" s="51">
        <v>2.0000000000000018E-2</v>
      </c>
      <c r="O20" s="51">
        <v>3.0000000000000027E-2</v>
      </c>
      <c r="P20" s="51">
        <v>1.0000000000000009E-2</v>
      </c>
      <c r="Q20" s="50">
        <v>2.0000000000000018E-2</v>
      </c>
      <c r="R20" s="51">
        <v>1.0000000000000009E-2</v>
      </c>
      <c r="S20" s="51">
        <v>3.0000000000000027E-2</v>
      </c>
      <c r="T20" s="50">
        <v>0</v>
      </c>
      <c r="U20" s="51">
        <v>2.0000000000000018E-2</v>
      </c>
      <c r="V20" s="51">
        <v>2.0000000000000018E-2</v>
      </c>
      <c r="W20" s="51">
        <v>2.9999999999999916E-2</v>
      </c>
      <c r="X20" s="50">
        <v>2.0000000000000018E-2</v>
      </c>
      <c r="Y20" s="51">
        <v>1.0000000000000009E-2</v>
      </c>
      <c r="Z20" s="50">
        <v>2.0000000000000018E-2</v>
      </c>
      <c r="AA20" s="52">
        <v>2.0000000000000018E-2</v>
      </c>
    </row>
    <row r="21" spans="1:27" s="93" customFormat="1" ht="21" customHeight="1" x14ac:dyDescent="0.35">
      <c r="A21" s="214"/>
      <c r="B21" s="228" t="s">
        <v>46</v>
      </c>
      <c r="C21" s="63">
        <v>183</v>
      </c>
      <c r="D21" s="70">
        <v>85</v>
      </c>
      <c r="E21" s="65">
        <v>97</v>
      </c>
      <c r="F21" s="71">
        <v>46</v>
      </c>
      <c r="G21" s="72">
        <v>93</v>
      </c>
      <c r="H21" s="73">
        <v>34</v>
      </c>
      <c r="I21" s="65">
        <v>9</v>
      </c>
      <c r="J21" s="71">
        <v>39</v>
      </c>
      <c r="K21" s="73">
        <v>59</v>
      </c>
      <c r="L21" s="65">
        <v>44</v>
      </c>
      <c r="M21" s="71">
        <v>39</v>
      </c>
      <c r="N21" s="72">
        <v>64</v>
      </c>
      <c r="O21" s="73">
        <v>24</v>
      </c>
      <c r="P21" s="65">
        <v>44</v>
      </c>
      <c r="Q21" s="71">
        <v>44</v>
      </c>
      <c r="R21" s="73">
        <v>81</v>
      </c>
      <c r="S21" s="65">
        <v>58</v>
      </c>
      <c r="T21" s="71">
        <v>12</v>
      </c>
      <c r="U21" s="72">
        <v>50</v>
      </c>
      <c r="V21" s="73">
        <v>10</v>
      </c>
      <c r="W21" s="65">
        <v>82</v>
      </c>
      <c r="X21" s="70">
        <v>127</v>
      </c>
      <c r="Y21" s="65">
        <v>43</v>
      </c>
      <c r="Z21" s="71">
        <v>83</v>
      </c>
      <c r="AA21" s="74">
        <v>83</v>
      </c>
    </row>
    <row r="22" spans="1:27" s="87" customFormat="1" ht="24" customHeight="1" x14ac:dyDescent="0.35">
      <c r="A22" s="55"/>
      <c r="B22" s="225"/>
      <c r="C22" s="49">
        <v>0</v>
      </c>
      <c r="D22" s="50">
        <v>1.0000000000000009E-2</v>
      </c>
      <c r="E22" s="51">
        <v>0</v>
      </c>
      <c r="F22" s="50">
        <v>1.0000000000000009E-2</v>
      </c>
      <c r="G22" s="51">
        <v>1.0000000000000009E-2</v>
      </c>
      <c r="H22" s="51">
        <v>1.0000000000000009E-2</v>
      </c>
      <c r="I22" s="51">
        <v>0</v>
      </c>
      <c r="J22" s="50">
        <v>0</v>
      </c>
      <c r="K22" s="51">
        <v>0</v>
      </c>
      <c r="L22" s="51">
        <v>0</v>
      </c>
      <c r="M22" s="50">
        <v>1.0000000000000009E-2</v>
      </c>
      <c r="N22" s="51">
        <v>1.0000000000000009E-2</v>
      </c>
      <c r="O22" s="51">
        <v>1.0000000000000009E-2</v>
      </c>
      <c r="P22" s="51">
        <v>0</v>
      </c>
      <c r="Q22" s="50">
        <v>0</v>
      </c>
      <c r="R22" s="51">
        <v>1.0000000000000009E-2</v>
      </c>
      <c r="S22" s="51">
        <v>1.0000000000000009E-2</v>
      </c>
      <c r="T22" s="50">
        <v>0</v>
      </c>
      <c r="U22" s="51">
        <v>1.0000000000000009E-2</v>
      </c>
      <c r="V22" s="51">
        <v>1.0000000000000009E-2</v>
      </c>
      <c r="W22" s="51">
        <v>3.0000000000000027E-2</v>
      </c>
      <c r="X22" s="50">
        <v>1.0000000000000009E-2</v>
      </c>
      <c r="Y22" s="51">
        <v>1.0000000000000009E-2</v>
      </c>
      <c r="Z22" s="50">
        <v>1.0000000000000009E-2</v>
      </c>
      <c r="AA22" s="52">
        <v>1.0000000000000009E-2</v>
      </c>
    </row>
    <row r="23" spans="1:27" s="93" customFormat="1" ht="21" customHeight="1" x14ac:dyDescent="0.35">
      <c r="A23" s="214"/>
      <c r="B23" s="232" t="s">
        <v>408</v>
      </c>
      <c r="C23" s="63">
        <v>2637</v>
      </c>
      <c r="D23" s="70">
        <v>1357</v>
      </c>
      <c r="E23" s="65">
        <v>1231</v>
      </c>
      <c r="F23" s="71">
        <v>807</v>
      </c>
      <c r="G23" s="72">
        <v>813</v>
      </c>
      <c r="H23" s="73">
        <v>499</v>
      </c>
      <c r="I23" s="65">
        <v>517</v>
      </c>
      <c r="J23" s="71">
        <v>816</v>
      </c>
      <c r="K23" s="73">
        <v>640</v>
      </c>
      <c r="L23" s="65">
        <v>536</v>
      </c>
      <c r="M23" s="71">
        <v>431</v>
      </c>
      <c r="N23" s="72">
        <v>1048</v>
      </c>
      <c r="O23" s="73">
        <v>337</v>
      </c>
      <c r="P23" s="65">
        <v>667</v>
      </c>
      <c r="Q23" s="71">
        <v>986</v>
      </c>
      <c r="R23" s="73">
        <v>926</v>
      </c>
      <c r="S23" s="65">
        <v>632</v>
      </c>
      <c r="T23" s="71">
        <v>259</v>
      </c>
      <c r="U23" s="72">
        <v>209</v>
      </c>
      <c r="V23" s="73">
        <v>93</v>
      </c>
      <c r="W23" s="65">
        <v>83</v>
      </c>
      <c r="X23" s="70">
        <v>1723</v>
      </c>
      <c r="Y23" s="65">
        <v>701</v>
      </c>
      <c r="Z23" s="71">
        <v>1150</v>
      </c>
      <c r="AA23" s="74">
        <v>1166</v>
      </c>
    </row>
    <row r="24" spans="1:27" s="87" customFormat="1" ht="24" customHeight="1" thickBot="1" x14ac:dyDescent="0.4">
      <c r="A24" s="55"/>
      <c r="B24" s="233"/>
      <c r="C24" s="59">
        <v>9.9999999999999978E-2</v>
      </c>
      <c r="D24" s="60">
        <v>9.9999999999999978E-2</v>
      </c>
      <c r="E24" s="61">
        <v>8.9999999999999969E-2</v>
      </c>
      <c r="F24" s="60">
        <v>0.22999999999999998</v>
      </c>
      <c r="G24" s="61">
        <v>0.13</v>
      </c>
      <c r="H24" s="61">
        <v>6.9999999999999951E-2</v>
      </c>
      <c r="I24" s="61">
        <v>5.0000000000000044E-2</v>
      </c>
      <c r="J24" s="60">
        <v>0.14000000000000001</v>
      </c>
      <c r="K24" s="61">
        <v>6.0000000000000053E-2</v>
      </c>
      <c r="L24" s="61">
        <v>6.9999999999999951E-2</v>
      </c>
      <c r="M24" s="60">
        <v>0.16000000000000003</v>
      </c>
      <c r="N24" s="61">
        <v>7.999999999999996E-2</v>
      </c>
      <c r="O24" s="61">
        <v>0.12</v>
      </c>
      <c r="P24" s="61">
        <v>7.999999999999996E-2</v>
      </c>
      <c r="Q24" s="60">
        <v>8.9999999999999969E-2</v>
      </c>
      <c r="R24" s="61">
        <v>9.9999999999999978E-2</v>
      </c>
      <c r="S24" s="61">
        <v>8.9999999999999969E-2</v>
      </c>
      <c r="T24" s="60">
        <v>4.0000000000000036E-2</v>
      </c>
      <c r="U24" s="61">
        <v>2.0000000000000018E-2</v>
      </c>
      <c r="V24" s="61">
        <v>2.0000000000000018E-2</v>
      </c>
      <c r="W24" s="61">
        <v>3.0000000000000027E-2</v>
      </c>
      <c r="X24" s="60">
        <v>8.9999999999999969E-2</v>
      </c>
      <c r="Y24" s="61">
        <v>8.9999999999999969E-2</v>
      </c>
      <c r="Z24" s="60">
        <v>9.9999999999999978E-2</v>
      </c>
      <c r="AA24" s="62">
        <v>7.999999999999996E-2</v>
      </c>
    </row>
    <row r="25" spans="1:27" s="93" customFormat="1" ht="21" customHeight="1" x14ac:dyDescent="0.35">
      <c r="A25" s="65"/>
      <c r="B25" s="3"/>
      <c r="C25" s="63"/>
      <c r="D25" s="65"/>
      <c r="E25" s="65"/>
      <c r="F25" s="65"/>
      <c r="G25" s="65"/>
      <c r="H25" s="65"/>
      <c r="I25" s="65"/>
      <c r="J25" s="65"/>
      <c r="K25" s="65"/>
      <c r="L25" s="65"/>
      <c r="M25" s="65"/>
      <c r="N25" s="65"/>
      <c r="O25" s="65"/>
      <c r="P25" s="65"/>
      <c r="Q25" s="65"/>
      <c r="R25" s="65"/>
      <c r="S25" s="65"/>
      <c r="T25" s="65"/>
      <c r="U25" s="65"/>
      <c r="V25" s="65"/>
      <c r="W25" s="65"/>
      <c r="X25" s="65"/>
      <c r="Y25" s="65"/>
      <c r="Z25" s="65"/>
      <c r="AA25" s="65"/>
    </row>
    <row r="26" spans="1:27" s="87" customFormat="1" ht="24" customHeight="1" x14ac:dyDescent="0.35">
      <c r="A26" s="1"/>
      <c r="B26" s="3"/>
      <c r="C26" s="2"/>
      <c r="D26" s="1"/>
      <c r="E26" s="1"/>
      <c r="F26" s="1"/>
      <c r="G26" s="1"/>
      <c r="H26" s="1"/>
      <c r="I26" s="1"/>
      <c r="J26" s="1"/>
      <c r="K26" s="1"/>
      <c r="L26" s="1"/>
      <c r="M26" s="1"/>
      <c r="N26" s="1"/>
      <c r="O26" s="1"/>
      <c r="P26" s="1"/>
      <c r="Q26" s="1"/>
      <c r="R26" s="1"/>
      <c r="S26" s="1"/>
      <c r="T26" s="1"/>
      <c r="U26" s="1"/>
      <c r="V26" s="1"/>
      <c r="W26" s="1"/>
      <c r="X26" s="1"/>
      <c r="Y26" s="1"/>
      <c r="Z26" s="1"/>
      <c r="AA26" s="1"/>
    </row>
    <row r="27" spans="1:27" x14ac:dyDescent="0.4"/>
    <row r="28" spans="1:27" ht="24" customHeight="1" x14ac:dyDescent="0.4"/>
    <row r="29" spans="1:27" x14ac:dyDescent="0.4">
      <c r="B29" s="1"/>
    </row>
    <row r="30" spans="1:27" ht="24" customHeight="1" x14ac:dyDescent="0.4"/>
    <row r="31" spans="1:27" x14ac:dyDescent="0.4"/>
    <row r="32" spans="1:27" ht="24" customHeight="1" x14ac:dyDescent="0.4"/>
  </sheetData>
  <mergeCells count="14">
    <mergeCell ref="B15:B16"/>
    <mergeCell ref="B17:B18"/>
    <mergeCell ref="B19:B20"/>
    <mergeCell ref="B21:B22"/>
    <mergeCell ref="B23:B24"/>
    <mergeCell ref="T9:W9"/>
    <mergeCell ref="X9:Y9"/>
    <mergeCell ref="Z9:AA9"/>
    <mergeCell ref="B13:B14"/>
    <mergeCell ref="D9:E9"/>
    <mergeCell ref="F9:I9"/>
    <mergeCell ref="J9:L9"/>
    <mergeCell ref="M9:P9"/>
    <mergeCell ref="Q9:S9"/>
  </mergeCells>
  <hyperlinks>
    <hyperlink ref="B1" location="'Table of Contents'!A1" display="Home" xr:uid="{2BDBB423-4AC6-4849-B9A3-72F9E2C0ED10}"/>
  </hyperlinks>
  <pageMargins left="0.7" right="0.7" top="0.75" bottom="0.75" header="0.511811023622047" footer="0.511811023622047"/>
  <pageSetup paperSize="9" orientation="portrait" useFirstPageNumber="1"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0ACA3B5504D6F4BBFAFB27EF02B90F1" ma:contentTypeVersion="10" ma:contentTypeDescription="Crée un document." ma:contentTypeScope="" ma:versionID="377d6e329b81aeea259d7841b87ef1f3">
  <xsd:schema xmlns:xsd="http://www.w3.org/2001/XMLSchema" xmlns:xs="http://www.w3.org/2001/XMLSchema" xmlns:p="http://schemas.microsoft.com/office/2006/metadata/properties" xmlns:ns2="d0fe1cc7-f1f1-4026-8e42-6075d5c27238" xmlns:ns3="f61b7067-bba8-4367-b4c6-011512477362" targetNamespace="http://schemas.microsoft.com/office/2006/metadata/properties" ma:root="true" ma:fieldsID="45de4dec5742364b8d1354ac54b62fe4" ns2:_="" ns3:_="">
    <xsd:import namespace="d0fe1cc7-f1f1-4026-8e42-6075d5c27238"/>
    <xsd:import namespace="f61b7067-bba8-4367-b4c6-01151247736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0fe1cc7-f1f1-4026-8e42-6075d5c272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c15a7cc7-973d-4326-be15-aeaf68a2d18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61b7067-bba8-4367-b4c6-01151247736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7100249-fc96-4708-85f3-6d5f6f05f818}" ma:internalName="TaxCatchAll" ma:showField="CatchAllData" ma:web="f61b7067-bba8-4367-b4c6-01151247736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0fe1cc7-f1f1-4026-8e42-6075d5c27238">
      <Terms xmlns="http://schemas.microsoft.com/office/infopath/2007/PartnerControls"/>
    </lcf76f155ced4ddcb4097134ff3c332f>
    <TaxCatchAll xmlns="f61b7067-bba8-4367-b4c6-01151247736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03405B3-8B1A-4CCE-8ABE-8BDA532F4C2A}"/>
</file>

<file path=customXml/itemProps2.xml><?xml version="1.0" encoding="utf-8"?>
<ds:datastoreItem xmlns:ds="http://schemas.openxmlformats.org/officeDocument/2006/customXml" ds:itemID="{ECCDD5B5-7B67-45E4-931A-79931C506AB9}">
  <ds:schemaRefs>
    <ds:schemaRef ds:uri="f61b7067-bba8-4367-b4c6-011512477362"/>
    <ds:schemaRef ds:uri="d0fe1cc7-f1f1-4026-8e42-6075d5c27238"/>
    <ds:schemaRef ds:uri="http://purl.org/dc/dcmitype/"/>
    <ds:schemaRef ds:uri="http://schemas.microsoft.com/office/2006/documentManagement/types"/>
    <ds:schemaRef ds:uri="http://www.w3.org/XML/1998/namespace"/>
    <ds:schemaRef ds:uri="http://purl.org/dc/terms/"/>
    <ds:schemaRef ds:uri="http://schemas.openxmlformats.org/package/2006/metadata/core-properties"/>
    <ds:schemaRef ds:uri="http://schemas.microsoft.com/office/infopath/2007/PartnerControls"/>
    <ds:schemaRef ds:uri="http://schemas.microsoft.com/office/2006/metadata/properties"/>
    <ds:schemaRef ds:uri="http://purl.org/dc/elements/1.1/"/>
  </ds:schemaRefs>
</ds:datastoreItem>
</file>

<file path=customXml/itemProps3.xml><?xml version="1.0" encoding="utf-8"?>
<ds:datastoreItem xmlns:ds="http://schemas.openxmlformats.org/officeDocument/2006/customXml" ds:itemID="{DFD1E13F-14F9-4EB8-B641-D567408B3B3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Table of Contents</vt:lpstr>
      <vt:lpstr>Q1.1</vt:lpstr>
      <vt:lpstr>Q1.2</vt:lpstr>
      <vt:lpstr>Q2</vt:lpstr>
      <vt:lpstr>Q3.1</vt:lpstr>
      <vt:lpstr>Q3.2</vt:lpstr>
      <vt:lpstr>Q4.1</vt:lpstr>
      <vt:lpstr>Q4.2</vt:lpstr>
      <vt:lpstr>Q5a</vt:lpstr>
      <vt:lpstr>Q5b</vt:lpstr>
      <vt:lpstr>Q5T</vt:lpstr>
      <vt:lpstr>DX1</vt:lpstr>
      <vt:lpstr>DX2</vt:lpstr>
      <vt:lpstr>DX3.A</vt:lpstr>
      <vt:lpstr>DX3.B</vt:lpstr>
      <vt:lpstr>DX3.C</vt:lpstr>
      <vt:lpstr>DX4</vt:lpstr>
      <vt:lpstr>Q15</vt:lpstr>
      <vt:lpstr>QDX4</vt:lpstr>
      <vt:lpstr>QDX8</vt:lpstr>
      <vt:lpstr>DX5</vt:lpstr>
      <vt:lpstr>DX6a</vt:lpstr>
      <vt:lpstr>DX6b</vt:lpstr>
      <vt:lpstr>DX6c</vt:lpstr>
      <vt:lpstr>DX6d</vt:lpstr>
      <vt:lpstr>DX6e</vt:lpstr>
      <vt:lpstr>DX7</vt:lpstr>
      <vt:lpstr>DX8</vt:lpstr>
      <vt:lpstr>DX9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31</cp:revision>
  <dcterms:created xsi:type="dcterms:W3CDTF">2025-12-16T05:59:53Z</dcterms:created>
  <dcterms:modified xsi:type="dcterms:W3CDTF">2026-02-11T19:45:17Z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0x01010070ACA3B5504D6F4BBFAFB27EF02B90F1</vt:lpwstr>
  </property>
  <property fmtid="{D5CDD505-2E9C-101B-9397-08002B2CF9AE}" pid="3" name="MediaServiceImageTags">
    <vt:lpwstr/>
  </property>
</Properties>
</file>