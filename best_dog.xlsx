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jordangruchala/Downloads/"/>
    </mc:Choice>
  </mc:AlternateContent>
  <xr:revisionPtr revIDLastSave="0" documentId="13_ncr:1_{4CC05357-CE37-494F-94BF-029787FCF50D}" xr6:coauthVersionLast="47" xr6:coauthVersionMax="47" xr10:uidLastSave="{00000000-0000-0000-0000-000000000000}"/>
  <bookViews>
    <workbookView xWindow="6200" yWindow="600" windowWidth="19740" windowHeight="15740" activeTab="1" xr2:uid="{00000000-000D-0000-FFFF-FFFF00000000}"/>
  </bookViews>
  <sheets>
    <sheet name="data full" sheetId="1" r:id="rId1"/>
    <sheet name="data cle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8" i="2" l="1"/>
  <c r="R88" i="2"/>
  <c r="P88" i="2"/>
  <c r="L88" i="2"/>
  <c r="X87" i="2"/>
  <c r="T87" i="2"/>
  <c r="R87" i="2"/>
  <c r="P87" i="2"/>
  <c r="L87" i="2"/>
  <c r="X86" i="2"/>
  <c r="T86" i="2"/>
  <c r="R86" i="2"/>
  <c r="P86" i="2"/>
  <c r="L86" i="2"/>
  <c r="T85" i="2"/>
  <c r="R85" i="2"/>
  <c r="P85" i="2"/>
  <c r="L85" i="2"/>
  <c r="X84" i="2"/>
  <c r="T84" i="2"/>
  <c r="R84" i="2"/>
  <c r="P84" i="2"/>
  <c r="L84" i="2"/>
  <c r="T83" i="2"/>
  <c r="R83" i="2"/>
  <c r="P83" i="2"/>
  <c r="L83" i="2"/>
  <c r="X82" i="2"/>
  <c r="T82" i="2"/>
  <c r="R82" i="2"/>
  <c r="P82" i="2"/>
  <c r="L82" i="2"/>
  <c r="T81" i="2"/>
  <c r="R81" i="2"/>
  <c r="P81" i="2"/>
  <c r="L81" i="2"/>
  <c r="T80" i="2"/>
  <c r="R80" i="2"/>
  <c r="P80" i="2"/>
  <c r="L80" i="2"/>
  <c r="X79" i="2"/>
  <c r="T79" i="2"/>
  <c r="R79" i="2"/>
  <c r="P79" i="2"/>
  <c r="L79" i="2"/>
  <c r="T78" i="2"/>
  <c r="R78" i="2"/>
  <c r="P78" i="2"/>
  <c r="L78" i="2"/>
  <c r="X77" i="2"/>
  <c r="T77" i="2"/>
  <c r="R77" i="2"/>
  <c r="P77" i="2"/>
  <c r="L77" i="2"/>
  <c r="T76" i="2"/>
  <c r="R76" i="2"/>
  <c r="P76" i="2"/>
  <c r="L76" i="2"/>
  <c r="X75" i="2"/>
  <c r="T75" i="2"/>
  <c r="R75" i="2"/>
  <c r="P75" i="2"/>
  <c r="L75" i="2"/>
  <c r="T74" i="2"/>
  <c r="R74" i="2"/>
  <c r="P74" i="2"/>
  <c r="L74" i="2"/>
  <c r="T73" i="2"/>
  <c r="R73" i="2"/>
  <c r="P73" i="2"/>
  <c r="L73" i="2"/>
  <c r="X72" i="2"/>
  <c r="T72" i="2"/>
  <c r="R72" i="2"/>
  <c r="P72" i="2"/>
  <c r="L72" i="2"/>
  <c r="T71" i="2"/>
  <c r="R71" i="2"/>
  <c r="P71" i="2"/>
  <c r="L71" i="2"/>
  <c r="T70" i="2"/>
  <c r="R70" i="2"/>
  <c r="P70" i="2"/>
  <c r="L70" i="2"/>
  <c r="X69" i="2"/>
  <c r="T69" i="2"/>
  <c r="R69" i="2"/>
  <c r="P69" i="2"/>
  <c r="L69" i="2"/>
  <c r="X68" i="2"/>
  <c r="T68" i="2"/>
  <c r="R68" i="2"/>
  <c r="P68" i="2"/>
  <c r="L68" i="2"/>
  <c r="T67" i="2"/>
  <c r="R67" i="2"/>
  <c r="P67" i="2"/>
  <c r="L67" i="2"/>
  <c r="T66" i="2"/>
  <c r="R66" i="2"/>
  <c r="P66" i="2"/>
  <c r="L66" i="2"/>
  <c r="T65" i="2"/>
  <c r="R65" i="2"/>
  <c r="P65" i="2"/>
  <c r="L65" i="2"/>
  <c r="X64" i="2"/>
  <c r="T64" i="2"/>
  <c r="R64" i="2"/>
  <c r="P64" i="2"/>
  <c r="L64" i="2"/>
  <c r="T63" i="2"/>
  <c r="R63" i="2"/>
  <c r="P63" i="2"/>
  <c r="L63" i="2"/>
  <c r="X62" i="2"/>
  <c r="T62" i="2"/>
  <c r="R62" i="2"/>
  <c r="P62" i="2"/>
  <c r="L62" i="2"/>
  <c r="X61" i="2"/>
  <c r="T61" i="2"/>
  <c r="R61" i="2"/>
  <c r="P61" i="2"/>
  <c r="L61" i="2"/>
  <c r="X60" i="2"/>
  <c r="T60" i="2"/>
  <c r="R60" i="2"/>
  <c r="P60" i="2"/>
  <c r="L60" i="2"/>
  <c r="T59" i="2"/>
  <c r="R59" i="2"/>
  <c r="P59" i="2"/>
  <c r="L59" i="2"/>
  <c r="X58" i="2"/>
  <c r="T58" i="2"/>
  <c r="R58" i="2"/>
  <c r="P58" i="2"/>
  <c r="L58" i="2"/>
  <c r="X57" i="2"/>
  <c r="T57" i="2"/>
  <c r="R57" i="2"/>
  <c r="P57" i="2"/>
  <c r="L57" i="2"/>
  <c r="T56" i="2"/>
  <c r="R56" i="2"/>
  <c r="P56" i="2"/>
  <c r="L56" i="2"/>
  <c r="T55" i="2"/>
  <c r="R55" i="2"/>
  <c r="P55" i="2"/>
  <c r="L55" i="2"/>
  <c r="X54" i="2"/>
  <c r="T54" i="2"/>
  <c r="R54" i="2"/>
  <c r="P54" i="2"/>
  <c r="L54" i="2"/>
  <c r="X53" i="2"/>
  <c r="T53" i="2"/>
  <c r="R53" i="2"/>
  <c r="P53" i="2"/>
  <c r="L53" i="2"/>
  <c r="X52" i="2"/>
  <c r="T52" i="2"/>
  <c r="R52" i="2"/>
  <c r="P52" i="2"/>
  <c r="L52" i="2"/>
  <c r="X51" i="2"/>
  <c r="T51" i="2"/>
  <c r="R51" i="2"/>
  <c r="P51" i="2"/>
  <c r="L51" i="2"/>
  <c r="T50" i="2"/>
  <c r="R50" i="2"/>
  <c r="P50" i="2"/>
  <c r="L50" i="2"/>
  <c r="T49" i="2"/>
  <c r="R49" i="2"/>
  <c r="P49" i="2"/>
  <c r="L49" i="2"/>
  <c r="X48" i="2"/>
  <c r="T48" i="2"/>
  <c r="R48" i="2"/>
  <c r="P48" i="2"/>
  <c r="L48" i="2"/>
  <c r="X47" i="2"/>
  <c r="T47" i="2"/>
  <c r="R47" i="2"/>
  <c r="P47" i="2"/>
  <c r="L47" i="2"/>
  <c r="T46" i="2"/>
  <c r="R46" i="2"/>
  <c r="P46" i="2"/>
  <c r="L46" i="2"/>
  <c r="X45" i="2"/>
  <c r="T45" i="2"/>
  <c r="R45" i="2"/>
  <c r="P45" i="2"/>
  <c r="L45" i="2"/>
  <c r="T44" i="2"/>
  <c r="R44" i="2"/>
  <c r="P44" i="2"/>
  <c r="L44" i="2"/>
  <c r="X43" i="2"/>
  <c r="T43" i="2"/>
  <c r="R43" i="2"/>
  <c r="P43" i="2"/>
  <c r="L43" i="2"/>
  <c r="X42" i="2"/>
  <c r="T42" i="2"/>
  <c r="R42" i="2"/>
  <c r="P42" i="2"/>
  <c r="L42" i="2"/>
  <c r="T41" i="2"/>
  <c r="R41" i="2"/>
  <c r="P41" i="2"/>
  <c r="L41" i="2"/>
  <c r="X40" i="2"/>
  <c r="T40" i="2"/>
  <c r="R40" i="2"/>
  <c r="P40" i="2"/>
  <c r="L40" i="2"/>
  <c r="X39" i="2"/>
  <c r="T39" i="2"/>
  <c r="R39" i="2"/>
  <c r="P39" i="2"/>
  <c r="L39" i="2"/>
  <c r="T38" i="2"/>
  <c r="R38" i="2"/>
  <c r="P38" i="2"/>
  <c r="L38" i="2"/>
  <c r="X37" i="2"/>
  <c r="T37" i="2"/>
  <c r="R37" i="2"/>
  <c r="P37" i="2"/>
  <c r="L37" i="2"/>
  <c r="X36" i="2"/>
  <c r="T36" i="2"/>
  <c r="R36" i="2"/>
  <c r="P36" i="2"/>
  <c r="L36" i="2"/>
  <c r="T35" i="2"/>
  <c r="R35" i="2"/>
  <c r="P35" i="2"/>
  <c r="L35" i="2"/>
  <c r="X34" i="2"/>
  <c r="T34" i="2"/>
  <c r="R34" i="2"/>
  <c r="P34" i="2"/>
  <c r="L34" i="2"/>
  <c r="T33" i="2"/>
  <c r="R33" i="2"/>
  <c r="P33" i="2"/>
  <c r="L33" i="2"/>
  <c r="T32" i="2"/>
  <c r="R32" i="2"/>
  <c r="P32" i="2"/>
  <c r="L32" i="2"/>
  <c r="X31" i="2"/>
  <c r="T31" i="2"/>
  <c r="R31" i="2"/>
  <c r="P31" i="2"/>
  <c r="L31" i="2"/>
  <c r="T30" i="2"/>
  <c r="R30" i="2"/>
  <c r="P30" i="2"/>
  <c r="L30" i="2"/>
  <c r="T29" i="2"/>
  <c r="R29" i="2"/>
  <c r="P29" i="2"/>
  <c r="L29" i="2"/>
  <c r="X28" i="2"/>
  <c r="T28" i="2"/>
  <c r="R28" i="2"/>
  <c r="P28" i="2"/>
  <c r="L28" i="2"/>
  <c r="X27" i="2"/>
  <c r="T27" i="2"/>
  <c r="R27" i="2"/>
  <c r="P27" i="2"/>
  <c r="L27" i="2"/>
  <c r="X26" i="2"/>
  <c r="T26" i="2"/>
  <c r="R26" i="2"/>
  <c r="P26" i="2"/>
  <c r="L26" i="2"/>
  <c r="T25" i="2"/>
  <c r="R25" i="2"/>
  <c r="P25" i="2"/>
  <c r="L25" i="2"/>
  <c r="X24" i="2"/>
  <c r="T24" i="2"/>
  <c r="R24" i="2"/>
  <c r="P24" i="2"/>
  <c r="L24" i="2"/>
  <c r="T23" i="2"/>
  <c r="R23" i="2"/>
  <c r="P23" i="2"/>
  <c r="L23" i="2"/>
  <c r="T22" i="2"/>
  <c r="R22" i="2"/>
  <c r="P22" i="2"/>
  <c r="L22" i="2"/>
  <c r="X21" i="2"/>
  <c r="T21" i="2"/>
  <c r="R21" i="2"/>
  <c r="P21" i="2"/>
  <c r="L21" i="2"/>
  <c r="X20" i="2"/>
  <c r="T20" i="2"/>
  <c r="R20" i="2"/>
  <c r="P20" i="2"/>
  <c r="L20" i="2"/>
  <c r="T19" i="2"/>
  <c r="R19" i="2"/>
  <c r="P19" i="2"/>
  <c r="L19" i="2"/>
  <c r="T18" i="2"/>
  <c r="R18" i="2"/>
  <c r="P18" i="2"/>
  <c r="L18" i="2"/>
  <c r="T17" i="2"/>
  <c r="R17" i="2"/>
  <c r="P17" i="2"/>
  <c r="M17" i="2"/>
  <c r="N17" i="2" s="1"/>
  <c r="L17" i="2"/>
  <c r="T16" i="2"/>
  <c r="R16" i="2"/>
  <c r="P16" i="2"/>
  <c r="L16" i="2"/>
  <c r="T15" i="2"/>
  <c r="R15" i="2"/>
  <c r="P15" i="2"/>
  <c r="L15" i="2"/>
  <c r="T14" i="2"/>
  <c r="R14" i="2"/>
  <c r="P14" i="2"/>
  <c r="L14" i="2"/>
  <c r="X13" i="2"/>
  <c r="T13" i="2"/>
  <c r="R13" i="2"/>
  <c r="P13" i="2"/>
  <c r="L13" i="2"/>
  <c r="T12" i="2"/>
  <c r="R12" i="2"/>
  <c r="P12" i="2"/>
  <c r="L12" i="2"/>
  <c r="X11" i="2"/>
  <c r="T11" i="2"/>
  <c r="R11" i="2"/>
  <c r="P11" i="2"/>
  <c r="L11" i="2"/>
  <c r="T10" i="2"/>
  <c r="R10" i="2"/>
  <c r="P10" i="2"/>
  <c r="L10" i="2"/>
  <c r="T9" i="2"/>
  <c r="R9" i="2"/>
  <c r="P9" i="2"/>
  <c r="L9" i="2"/>
  <c r="T8" i="2"/>
  <c r="R8" i="2"/>
  <c r="P8" i="2"/>
  <c r="M8" i="2"/>
  <c r="N75" i="2" s="1"/>
  <c r="G75" i="2" s="1"/>
  <c r="L8" i="2"/>
  <c r="X7" i="2"/>
  <c r="T7" i="2"/>
  <c r="R7" i="2"/>
  <c r="P7" i="2"/>
  <c r="L7" i="2"/>
  <c r="X6" i="2"/>
  <c r="T6" i="2"/>
  <c r="R6" i="2"/>
  <c r="P6" i="2"/>
  <c r="L6" i="2"/>
  <c r="X5" i="2"/>
  <c r="T5" i="2"/>
  <c r="R5" i="2"/>
  <c r="P5" i="2"/>
  <c r="L5" i="2"/>
  <c r="T4" i="2"/>
  <c r="R4" i="2"/>
  <c r="P4" i="2"/>
  <c r="L4" i="2"/>
  <c r="X3" i="2"/>
  <c r="T3" i="2"/>
  <c r="R3" i="2"/>
  <c r="P3" i="2"/>
  <c r="L3" i="2"/>
  <c r="T2" i="2"/>
  <c r="R2" i="2"/>
  <c r="P2" i="2"/>
  <c r="L2" i="2"/>
  <c r="J175" i="1"/>
  <c r="J174" i="1"/>
  <c r="J173" i="1"/>
  <c r="J172" i="1"/>
  <c r="J171" i="1"/>
  <c r="J170" i="1"/>
  <c r="J169" i="1"/>
  <c r="J168" i="1"/>
  <c r="J167" i="1"/>
  <c r="J165" i="1"/>
  <c r="J164" i="1"/>
  <c r="J163" i="1"/>
  <c r="J162" i="1"/>
  <c r="J161" i="1"/>
  <c r="J160" i="1"/>
  <c r="J159" i="1"/>
  <c r="J156" i="1"/>
  <c r="J155" i="1"/>
  <c r="J153" i="1"/>
  <c r="J149" i="1"/>
  <c r="J148" i="1"/>
  <c r="J146" i="1"/>
  <c r="J144" i="1"/>
  <c r="J142" i="1"/>
  <c r="J140" i="1"/>
  <c r="J139" i="1"/>
  <c r="J138" i="1"/>
  <c r="J137" i="1"/>
  <c r="J134" i="1"/>
  <c r="J133" i="1"/>
  <c r="J131" i="1"/>
  <c r="J130" i="1"/>
  <c r="J129" i="1"/>
  <c r="J127" i="1"/>
  <c r="J123" i="1"/>
  <c r="J121" i="1"/>
  <c r="J120" i="1"/>
  <c r="J118" i="1"/>
  <c r="J113" i="1"/>
  <c r="J110" i="1"/>
  <c r="J109" i="1"/>
  <c r="J108" i="1"/>
  <c r="J106" i="1"/>
  <c r="J105" i="1"/>
  <c r="J103" i="1"/>
  <c r="J102" i="1"/>
  <c r="J101" i="1"/>
  <c r="J100" i="1"/>
  <c r="J98" i="1"/>
  <c r="J97" i="1"/>
  <c r="J94" i="1"/>
  <c r="J93" i="1"/>
  <c r="J92" i="1"/>
  <c r="J91" i="1"/>
  <c r="J90" i="1"/>
  <c r="J89" i="1"/>
  <c r="J88" i="1"/>
  <c r="D88" i="1"/>
  <c r="J87" i="1"/>
  <c r="D87" i="1"/>
  <c r="J86" i="1"/>
  <c r="D86" i="1"/>
  <c r="J85" i="1"/>
  <c r="D85" i="1"/>
  <c r="J84" i="1"/>
  <c r="D84" i="1"/>
  <c r="J83" i="1"/>
  <c r="D83" i="1"/>
  <c r="J82" i="1"/>
  <c r="D82" i="1"/>
  <c r="J81" i="1"/>
  <c r="D81" i="1"/>
  <c r="J80" i="1"/>
  <c r="D80" i="1"/>
  <c r="J79" i="1"/>
  <c r="D79" i="1"/>
  <c r="J78" i="1"/>
  <c r="D78" i="1"/>
  <c r="J77" i="1"/>
  <c r="D77" i="1"/>
  <c r="J76" i="1"/>
  <c r="D76" i="1"/>
  <c r="J75" i="1"/>
  <c r="D75" i="1"/>
  <c r="J74" i="1"/>
  <c r="D74" i="1"/>
  <c r="J73" i="1"/>
  <c r="D73" i="1"/>
  <c r="J72" i="1"/>
  <c r="D72" i="1"/>
  <c r="J71" i="1"/>
  <c r="D71" i="1"/>
  <c r="J70" i="1"/>
  <c r="D70" i="1"/>
  <c r="J69" i="1"/>
  <c r="D69" i="1"/>
  <c r="J68" i="1"/>
  <c r="D68" i="1"/>
  <c r="J67" i="1"/>
  <c r="D67" i="1"/>
  <c r="J66" i="1"/>
  <c r="D66" i="1"/>
  <c r="J65" i="1"/>
  <c r="D65" i="1"/>
  <c r="J64" i="1"/>
  <c r="D64" i="1"/>
  <c r="J63" i="1"/>
  <c r="D63" i="1"/>
  <c r="J62" i="1"/>
  <c r="D62" i="1"/>
  <c r="J61" i="1"/>
  <c r="D61" i="1"/>
  <c r="J60" i="1"/>
  <c r="D60" i="1"/>
  <c r="J59" i="1"/>
  <c r="D59" i="1"/>
  <c r="J58" i="1"/>
  <c r="D58" i="1"/>
  <c r="J57" i="1"/>
  <c r="D57" i="1"/>
  <c r="J56" i="1"/>
  <c r="D56" i="1"/>
  <c r="J55" i="1"/>
  <c r="D55" i="1"/>
  <c r="J54" i="1"/>
  <c r="D54" i="1"/>
  <c r="J53" i="1"/>
  <c r="D53" i="1"/>
  <c r="J52" i="1"/>
  <c r="D52" i="1"/>
  <c r="J51" i="1"/>
  <c r="D51" i="1"/>
  <c r="J50" i="1"/>
  <c r="D50" i="1"/>
  <c r="J49" i="1"/>
  <c r="D49" i="1"/>
  <c r="J48" i="1"/>
  <c r="D48" i="1"/>
  <c r="J47" i="1"/>
  <c r="D47" i="1"/>
  <c r="J46" i="1"/>
  <c r="D46" i="1"/>
  <c r="J45" i="1"/>
  <c r="D45" i="1"/>
  <c r="J44" i="1"/>
  <c r="D44" i="1"/>
  <c r="J43" i="1"/>
  <c r="D43" i="1"/>
  <c r="J42" i="1"/>
  <c r="D42" i="1"/>
  <c r="J41" i="1"/>
  <c r="D41" i="1"/>
  <c r="J40" i="1"/>
  <c r="D40" i="1"/>
  <c r="J39" i="1"/>
  <c r="D39" i="1"/>
  <c r="J38" i="1"/>
  <c r="D38" i="1"/>
  <c r="J37" i="1"/>
  <c r="D37" i="1"/>
  <c r="J36" i="1"/>
  <c r="D36" i="1"/>
  <c r="J35" i="1"/>
  <c r="D35" i="1"/>
  <c r="J34" i="1"/>
  <c r="D34" i="1"/>
  <c r="J33" i="1"/>
  <c r="D33" i="1"/>
  <c r="J32" i="1"/>
  <c r="D32" i="1"/>
  <c r="J31" i="1"/>
  <c r="D31" i="1"/>
  <c r="J30" i="1"/>
  <c r="D30" i="1"/>
  <c r="J29" i="1"/>
  <c r="D29" i="1"/>
  <c r="J28" i="1"/>
  <c r="D28" i="1"/>
  <c r="J27" i="1"/>
  <c r="D27" i="1"/>
  <c r="J26" i="1"/>
  <c r="D26" i="1"/>
  <c r="J25" i="1"/>
  <c r="D25" i="1"/>
  <c r="J24" i="1"/>
  <c r="D24" i="1"/>
  <c r="J23" i="1"/>
  <c r="D23" i="1"/>
  <c r="J22" i="1"/>
  <c r="D22" i="1"/>
  <c r="J21" i="1"/>
  <c r="D21" i="1"/>
  <c r="J20" i="1"/>
  <c r="D20" i="1"/>
  <c r="J19" i="1"/>
  <c r="D19" i="1"/>
  <c r="J18" i="1"/>
  <c r="D18" i="1"/>
  <c r="J17" i="1"/>
  <c r="E17" i="1"/>
  <c r="D17" i="1"/>
  <c r="J16" i="1"/>
  <c r="D16" i="1"/>
  <c r="J15" i="1"/>
  <c r="D15" i="1"/>
  <c r="J14" i="1"/>
  <c r="D14" i="1"/>
  <c r="J13" i="1"/>
  <c r="D13" i="1"/>
  <c r="J12" i="1"/>
  <c r="D12" i="1"/>
  <c r="J11" i="1"/>
  <c r="D11" i="1"/>
  <c r="J10" i="1"/>
  <c r="D10" i="1"/>
  <c r="J9" i="1"/>
  <c r="D9" i="1"/>
  <c r="J8" i="1"/>
  <c r="E8" i="1"/>
  <c r="D8" i="1"/>
  <c r="J7" i="1"/>
  <c r="D7" i="1"/>
  <c r="D6" i="1"/>
  <c r="J5" i="1"/>
  <c r="D5" i="1"/>
  <c r="J4" i="1"/>
  <c r="D4" i="1"/>
  <c r="J3" i="1"/>
  <c r="D3" i="1"/>
  <c r="J2" i="1"/>
  <c r="D2" i="1"/>
  <c r="N4" i="2" l="1"/>
  <c r="G4" i="2" s="1"/>
  <c r="N38" i="2"/>
  <c r="G38" i="2" s="1"/>
  <c r="N10" i="2"/>
  <c r="G10" i="2" s="1"/>
  <c r="N15" i="2"/>
  <c r="G15" i="2" s="1"/>
  <c r="N12" i="2"/>
  <c r="G12" i="2" s="1"/>
  <c r="N6" i="2"/>
  <c r="G6" i="2" s="1"/>
  <c r="G17" i="2"/>
  <c r="N22" i="2"/>
  <c r="G22" i="2" s="1"/>
  <c r="N2" i="2"/>
  <c r="G2" i="2" s="1"/>
  <c r="N27" i="2"/>
  <c r="G27" i="2" s="1"/>
  <c r="N44" i="2"/>
  <c r="G44" i="2" s="1"/>
  <c r="I31" i="1"/>
  <c r="I22" i="1"/>
  <c r="I27" i="1"/>
  <c r="I49" i="1"/>
  <c r="I36" i="1"/>
  <c r="I40" i="1"/>
  <c r="I5" i="1"/>
  <c r="I35" i="1"/>
  <c r="I48" i="1"/>
  <c r="I65" i="1"/>
  <c r="I19" i="1"/>
  <c r="I78" i="1"/>
  <c r="I62" i="1"/>
  <c r="I63" i="1"/>
  <c r="I70" i="1"/>
  <c r="I76" i="1"/>
  <c r="I32" i="1"/>
  <c r="I61" i="1"/>
  <c r="I88" i="1"/>
  <c r="I9" i="1"/>
  <c r="I26" i="1"/>
  <c r="I37" i="1"/>
  <c r="I45" i="1"/>
  <c r="I30" i="1"/>
  <c r="I66" i="1"/>
  <c r="I84" i="1"/>
  <c r="I47" i="1"/>
  <c r="I10" i="1"/>
  <c r="I16" i="1"/>
  <c r="I55" i="1"/>
  <c r="I60" i="1"/>
  <c r="I168" i="1"/>
  <c r="I12" i="1"/>
  <c r="I33" i="1"/>
  <c r="I34" i="1"/>
  <c r="I44" i="1"/>
  <c r="I81" i="1"/>
  <c r="I146" i="1"/>
  <c r="I7" i="1"/>
  <c r="I42" i="1"/>
  <c r="I46" i="1"/>
  <c r="I52" i="1"/>
  <c r="I53" i="1"/>
  <c r="I15" i="1"/>
  <c r="I25" i="1"/>
  <c r="I38" i="1"/>
  <c r="I41" i="1"/>
  <c r="I167" i="1"/>
  <c r="I13" i="1"/>
  <c r="I20" i="1"/>
  <c r="I29" i="1"/>
  <c r="I43" i="1"/>
  <c r="I87" i="1"/>
  <c r="I134" i="1"/>
  <c r="I14" i="1"/>
  <c r="I28" i="1"/>
  <c r="I21" i="1"/>
  <c r="I56" i="1"/>
  <c r="I58" i="1"/>
  <c r="I59" i="1"/>
  <c r="I75" i="1"/>
  <c r="I77" i="1"/>
  <c r="I79" i="1"/>
  <c r="I3" i="1"/>
  <c r="I39" i="1"/>
  <c r="I68" i="1"/>
  <c r="I83" i="1"/>
  <c r="I51" i="1"/>
  <c r="I54" i="1"/>
  <c r="G81" i="2"/>
  <c r="I4" i="1"/>
  <c r="I11" i="1"/>
  <c r="I23" i="1"/>
  <c r="I57" i="1"/>
  <c r="I73" i="1"/>
  <c r="I2" i="1"/>
  <c r="I18" i="1"/>
  <c r="I64" i="1"/>
  <c r="I86" i="1"/>
  <c r="I67" i="1"/>
  <c r="I69" i="1"/>
  <c r="I74" i="1"/>
  <c r="I6" i="1"/>
  <c r="I24" i="1"/>
  <c r="I50" i="1"/>
  <c r="I71" i="1"/>
  <c r="I85" i="1"/>
  <c r="G40" i="2"/>
  <c r="I72" i="1"/>
  <c r="G76" i="2"/>
  <c r="I80" i="1"/>
  <c r="I82" i="1"/>
  <c r="G87" i="2"/>
  <c r="N25" i="2"/>
  <c r="G25" i="2" s="1"/>
  <c r="N47" i="2"/>
  <c r="G47" i="2" s="1"/>
  <c r="N53" i="2"/>
  <c r="G53" i="2" s="1"/>
  <c r="N59" i="2"/>
  <c r="G59" i="2" s="1"/>
  <c r="N65" i="2"/>
  <c r="G65" i="2" s="1"/>
  <c r="N70" i="2"/>
  <c r="G70" i="2" s="1"/>
  <c r="N80" i="2"/>
  <c r="G80" i="2" s="1"/>
  <c r="N85" i="2"/>
  <c r="G85" i="2" s="1"/>
  <c r="N3" i="2"/>
  <c r="G3" i="2" s="1"/>
  <c r="N19" i="2"/>
  <c r="G19" i="2" s="1"/>
  <c r="N24" i="2"/>
  <c r="G24" i="2" s="1"/>
  <c r="N30" i="2"/>
  <c r="G30" i="2" s="1"/>
  <c r="N35" i="2"/>
  <c r="G35" i="2" s="1"/>
  <c r="N41" i="2"/>
  <c r="G41" i="2" s="1"/>
  <c r="N52" i="2"/>
  <c r="G52" i="2" s="1"/>
  <c r="N58" i="2"/>
  <c r="G58" i="2" s="1"/>
  <c r="N64" i="2"/>
  <c r="G64" i="2" s="1"/>
  <c r="N69" i="2"/>
  <c r="G69" i="2" s="1"/>
  <c r="N74" i="2"/>
  <c r="G74" i="2" s="1"/>
  <c r="N79" i="2"/>
  <c r="G79" i="2" s="1"/>
  <c r="N84" i="2"/>
  <c r="G84" i="2" s="1"/>
  <c r="N9" i="2"/>
  <c r="G9" i="2" s="1"/>
  <c r="N14" i="2"/>
  <c r="G14" i="2" s="1"/>
  <c r="N34" i="2"/>
  <c r="G34" i="2" s="1"/>
  <c r="N40" i="2"/>
  <c r="N46" i="2"/>
  <c r="G46" i="2" s="1"/>
  <c r="N51" i="2"/>
  <c r="G51" i="2" s="1"/>
  <c r="N57" i="2"/>
  <c r="G57" i="2" s="1"/>
  <c r="N68" i="2"/>
  <c r="G68" i="2" s="1"/>
  <c r="N13" i="2"/>
  <c r="G13" i="2" s="1"/>
  <c r="N18" i="2"/>
  <c r="G18" i="2" s="1"/>
  <c r="N23" i="2"/>
  <c r="G23" i="2" s="1"/>
  <c r="N29" i="2"/>
  <c r="G29" i="2" s="1"/>
  <c r="N39" i="2"/>
  <c r="G39" i="2" s="1"/>
  <c r="N45" i="2"/>
  <c r="G45" i="2" s="1"/>
  <c r="N63" i="2"/>
  <c r="G63" i="2" s="1"/>
  <c r="N73" i="2"/>
  <c r="G73" i="2" s="1"/>
  <c r="N78" i="2"/>
  <c r="G78" i="2" s="1"/>
  <c r="N83" i="2"/>
  <c r="G83" i="2" s="1"/>
  <c r="N7" i="2"/>
  <c r="G7" i="2" s="1"/>
  <c r="N8" i="2"/>
  <c r="G8" i="2" s="1"/>
  <c r="N28" i="2"/>
  <c r="G28" i="2" s="1"/>
  <c r="N33" i="2"/>
  <c r="G33" i="2" s="1"/>
  <c r="N50" i="2"/>
  <c r="G50" i="2" s="1"/>
  <c r="N56" i="2"/>
  <c r="G56" i="2" s="1"/>
  <c r="N62" i="2"/>
  <c r="G62" i="2" s="1"/>
  <c r="N67" i="2"/>
  <c r="G67" i="2" s="1"/>
  <c r="N72" i="2"/>
  <c r="G72" i="2" s="1"/>
  <c r="N77" i="2"/>
  <c r="G77" i="2" s="1"/>
  <c r="N82" i="2"/>
  <c r="G82" i="2" s="1"/>
  <c r="N88" i="2"/>
  <c r="G88" i="2" s="1"/>
  <c r="N61" i="2"/>
  <c r="G61" i="2" s="1"/>
  <c r="N87" i="2"/>
  <c r="N5" i="2"/>
  <c r="G5" i="2" s="1"/>
  <c r="N11" i="2"/>
  <c r="G11" i="2" s="1"/>
  <c r="N16" i="2"/>
  <c r="G16" i="2" s="1"/>
  <c r="N21" i="2"/>
  <c r="G21" i="2" s="1"/>
  <c r="N26" i="2"/>
  <c r="G26" i="2" s="1"/>
  <c r="N32" i="2"/>
  <c r="G32" i="2" s="1"/>
  <c r="N37" i="2"/>
  <c r="G37" i="2" s="1"/>
  <c r="N43" i="2"/>
  <c r="G43" i="2" s="1"/>
  <c r="N49" i="2"/>
  <c r="G49" i="2" s="1"/>
  <c r="N55" i="2"/>
  <c r="G55" i="2" s="1"/>
  <c r="N60" i="2"/>
  <c r="G60" i="2" s="1"/>
  <c r="N66" i="2"/>
  <c r="G66" i="2" s="1"/>
  <c r="N71" i="2"/>
  <c r="G71" i="2" s="1"/>
  <c r="N76" i="2"/>
  <c r="N81" i="2"/>
  <c r="N86" i="2"/>
  <c r="G86" i="2" s="1"/>
  <c r="N20" i="2"/>
  <c r="G20" i="2" s="1"/>
  <c r="N31" i="2"/>
  <c r="G31" i="2" s="1"/>
  <c r="N36" i="2"/>
  <c r="G36" i="2" s="1"/>
  <c r="N42" i="2"/>
  <c r="G42" i="2" s="1"/>
  <c r="N48" i="2"/>
  <c r="G48" i="2" s="1"/>
  <c r="N54" i="2"/>
  <c r="G54" i="2" s="1"/>
  <c r="I17" i="1" l="1"/>
  <c r="I8" i="1"/>
</calcChain>
</file>

<file path=xl/sharedStrings.xml><?xml version="1.0" encoding="utf-8"?>
<sst xmlns="http://schemas.openxmlformats.org/spreadsheetml/2006/main" count="1412" uniqueCount="226">
  <si>
    <t>category</t>
  </si>
  <si>
    <t>POPULARITY IN US</t>
  </si>
  <si>
    <t>2 LONGEVITY</t>
  </si>
  <si>
    <t>3 NO. OF GENETIC AILMENTS</t>
  </si>
  <si>
    <t>size category</t>
  </si>
  <si>
    <t>intelligence category</t>
  </si>
  <si>
    <t>4 LIFETIME COST, $</t>
  </si>
  <si>
    <t>average purchase price (US $)</t>
  </si>
  <si>
    <t>price bracket</t>
  </si>
  <si>
    <t>no data</t>
  </si>
  <si>
    <t>Border Collie</t>
  </si>
  <si>
    <t>herding</t>
  </si>
  <si>
    <t>medium</t>
  </si>
  <si>
    <t>Brightest</t>
  </si>
  <si>
    <t>budget</t>
  </si>
  <si>
    <t>Border Terrier</t>
  </si>
  <si>
    <t>terrier</t>
  </si>
  <si>
    <t>small</t>
  </si>
  <si>
    <t>Above average</t>
  </si>
  <si>
    <t>mid-price</t>
  </si>
  <si>
    <t>Brittany</t>
  </si>
  <si>
    <t>sporting</t>
  </si>
  <si>
    <t>Excellent</t>
  </si>
  <si>
    <t>Cairn Terrier</t>
  </si>
  <si>
    <t>Welsh Springer Spaniel</t>
  </si>
  <si>
    <t>English Cocker Spaniel</t>
  </si>
  <si>
    <t>Cocker Spaniel</t>
  </si>
  <si>
    <t>Papillon</t>
  </si>
  <si>
    <t>toy</t>
  </si>
  <si>
    <t>Australian Cattle Dog</t>
  </si>
  <si>
    <t>Shetland Sheepdog</t>
  </si>
  <si>
    <t>Siberian Husky</t>
  </si>
  <si>
    <t>working</t>
  </si>
  <si>
    <t>Average</t>
  </si>
  <si>
    <t>Lhasa Apso</t>
  </si>
  <si>
    <t>non-sporting</t>
  </si>
  <si>
    <t>Fair</t>
  </si>
  <si>
    <t>Affenpinscher</t>
  </si>
  <si>
    <t>Dachshund</t>
  </si>
  <si>
    <t>hound</t>
  </si>
  <si>
    <t>Miniature Schnauzer</t>
  </si>
  <si>
    <t>Chihuahua</t>
  </si>
  <si>
    <t>Australian Terrier</t>
  </si>
  <si>
    <t>Whippet</t>
  </si>
  <si>
    <t>English Springer Spaniel</t>
  </si>
  <si>
    <t>West Highland White Terrier</t>
  </si>
  <si>
    <t>Bedlington Terrier</t>
  </si>
  <si>
    <t>Poodle</t>
  </si>
  <si>
    <t>Bichon Frise</t>
  </si>
  <si>
    <t>German Shorthaired Pointer</t>
  </si>
  <si>
    <t>large</t>
  </si>
  <si>
    <t>Pointer</t>
  </si>
  <si>
    <t>Tibetan Spaniel</t>
  </si>
  <si>
    <t>Labrador Retriever</t>
  </si>
  <si>
    <t>Maltese</t>
  </si>
  <si>
    <t>Pomeranian</t>
  </si>
  <si>
    <t>Shih Tzu</t>
  </si>
  <si>
    <t>Lowest</t>
  </si>
  <si>
    <t>Australian Shepherd</t>
  </si>
  <si>
    <t>Yorkshire Terrier</t>
  </si>
  <si>
    <t>Irish Setter</t>
  </si>
  <si>
    <t>Pharaoh Hound</t>
  </si>
  <si>
    <t>Brussels Griffon</t>
  </si>
  <si>
    <t>Golden Retriever</t>
  </si>
  <si>
    <t>Samoyed</t>
  </si>
  <si>
    <t>Beagle</t>
  </si>
  <si>
    <t>Chesapeake Bay Retriever</t>
  </si>
  <si>
    <t>Tibetan Terrier</t>
  </si>
  <si>
    <t>Gordon Setter</t>
  </si>
  <si>
    <t>English Setter</t>
  </si>
  <si>
    <t>Pug</t>
  </si>
  <si>
    <t>Briard</t>
  </si>
  <si>
    <t>Norfolk Terrier</t>
  </si>
  <si>
    <t>high-end</t>
  </si>
  <si>
    <t>Flat-Coated Retriever</t>
  </si>
  <si>
    <t>Boston Terrier</t>
  </si>
  <si>
    <t>Doberman Pinscher</t>
  </si>
  <si>
    <t>English Toy Spaniel</t>
  </si>
  <si>
    <t>Belgian Tervuren</t>
  </si>
  <si>
    <t>Cavalier King Charles Spaniel</t>
  </si>
  <si>
    <t>Dalmatian</t>
  </si>
  <si>
    <t>Basset Hound</t>
  </si>
  <si>
    <t>Basenji</t>
  </si>
  <si>
    <t>Italian Greyhound</t>
  </si>
  <si>
    <t>Staffordshire Bull Terrier</t>
  </si>
  <si>
    <t>Bouvier des Flandres</t>
  </si>
  <si>
    <t>Pembroke Welsh Corgi</t>
  </si>
  <si>
    <t>Clumber Spaniel</t>
  </si>
  <si>
    <t>Dandie Dinmont Terrier</t>
  </si>
  <si>
    <t>Saluki</t>
  </si>
  <si>
    <t>Giant Schnauzer</t>
  </si>
  <si>
    <t>Greyhound</t>
  </si>
  <si>
    <t>Scottish Terrier</t>
  </si>
  <si>
    <t>Rottweiler</t>
  </si>
  <si>
    <t>Kerry Blue Terrier</t>
  </si>
  <si>
    <t>Afghan Hound</t>
  </si>
  <si>
    <t>Newfoundland</t>
  </si>
  <si>
    <t>German Shepherd</t>
  </si>
  <si>
    <t>Pekingese</t>
  </si>
  <si>
    <t>Old English Sheepdog</t>
  </si>
  <si>
    <t>Akita</t>
  </si>
  <si>
    <t>Rhodesian Ridgeback</t>
  </si>
  <si>
    <t>French Bulldog</t>
  </si>
  <si>
    <t>Borzoi</t>
  </si>
  <si>
    <t>Bernese Mountain Dog</t>
  </si>
  <si>
    <t>Bull Terrier</t>
  </si>
  <si>
    <t>Boxer</t>
  </si>
  <si>
    <t>Alaskan Malamute</t>
  </si>
  <si>
    <t>Chow Chow</t>
  </si>
  <si>
    <t>Bloodhound</t>
  </si>
  <si>
    <t>Irish Wolfhound</t>
  </si>
  <si>
    <t>Bullmastiff</t>
  </si>
  <si>
    <t>Mastiff</t>
  </si>
  <si>
    <t>Great Dane</t>
  </si>
  <si>
    <t>Saint Bernard</t>
  </si>
  <si>
    <t>Bulldog</t>
  </si>
  <si>
    <t>Airedale Terrier</t>
  </si>
  <si>
    <t>American English Coonhound</t>
  </si>
  <si>
    <t>American Eskimo Dog</t>
  </si>
  <si>
    <t>American Foxhound</t>
  </si>
  <si>
    <t>American Staffordshire Terrier</t>
  </si>
  <si>
    <t>American Water Spaniel</t>
  </si>
  <si>
    <t>Anatolian Shepherd Dog</t>
  </si>
  <si>
    <t>Bearded Collie</t>
  </si>
  <si>
    <t>Beauceron</t>
  </si>
  <si>
    <t>Belgian Malinois</t>
  </si>
  <si>
    <t>Belgian Sheepdog</t>
  </si>
  <si>
    <t>Black and Tan Coonhound</t>
  </si>
  <si>
    <t>Black Russian Terrier</t>
  </si>
  <si>
    <t>1.83 - really?</t>
  </si>
  <si>
    <t>Bluetick Coonhound</t>
  </si>
  <si>
    <t>Boykin Spaniel</t>
  </si>
  <si>
    <t>Canaan Dog</t>
  </si>
  <si>
    <t>Cane Corso</t>
  </si>
  <si>
    <t>Cardigan Welsh Corgi</t>
  </si>
  <si>
    <t>Cesky Terrier</t>
  </si>
  <si>
    <t>Chinese Crested</t>
  </si>
  <si>
    <t>Chinese Shar Pei</t>
  </si>
  <si>
    <t>Collie</t>
  </si>
  <si>
    <t>Curly Coated Retriever</t>
  </si>
  <si>
    <t>English Foxhound</t>
  </si>
  <si>
    <t>Entlebucher Mountain Dog</t>
  </si>
  <si>
    <t>Field Spaniel</t>
  </si>
  <si>
    <t>Finnish Lapphund</t>
  </si>
  <si>
    <t>Finnish Spitz</t>
  </si>
  <si>
    <t>German Pinscher</t>
  </si>
  <si>
    <t>German Wirehaired Pointer</t>
  </si>
  <si>
    <t>Glen of Imaal Terrier</t>
  </si>
  <si>
    <t>Great Pyrenees</t>
  </si>
  <si>
    <t>Greater Swiss Mountain Dog</t>
  </si>
  <si>
    <t>Harrier</t>
  </si>
  <si>
    <t>Havanese</t>
  </si>
  <si>
    <t>Ibizan Hound</t>
  </si>
  <si>
    <t>Icelandic Sheepdog</t>
  </si>
  <si>
    <t>Irish Red and White Setter</t>
  </si>
  <si>
    <t>Irish Terrier</t>
  </si>
  <si>
    <t>Irish Water Spaniel</t>
  </si>
  <si>
    <t>Japanese Chin</t>
  </si>
  <si>
    <t>Keeshond</t>
  </si>
  <si>
    <t>Komondor</t>
  </si>
  <si>
    <t>Kuvasz</t>
  </si>
  <si>
    <t>Lakeland Terrier</t>
  </si>
  <si>
    <t>Leonberger</t>
  </si>
  <si>
    <t>Looked - nothing</t>
  </si>
  <si>
    <t>Löwchen</t>
  </si>
  <si>
    <t>Manchester Terrier</t>
  </si>
  <si>
    <t>Miniature Bull Terrier</t>
  </si>
  <si>
    <t>Miniature Pinscher</t>
  </si>
  <si>
    <t>Neapolitan Mastiff</t>
  </si>
  <si>
    <t>Norwegian Buhund</t>
  </si>
  <si>
    <t>Norwegian Elkhound</t>
  </si>
  <si>
    <t>Norwegian Lundehund</t>
  </si>
  <si>
    <t>Norwich Terrier</t>
  </si>
  <si>
    <t>NOT POSSIBLE IF NO INTELLIGENCE DATA</t>
  </si>
  <si>
    <t>Nova Scotia Duck Tolling Retriever</t>
  </si>
  <si>
    <t>Otterhound</t>
  </si>
  <si>
    <t>Parson Russell Terrier</t>
  </si>
  <si>
    <t>Petit Basset Griffon Vendeen</t>
  </si>
  <si>
    <t>Plott</t>
  </si>
  <si>
    <t>Polish Lowland Sheepdog</t>
  </si>
  <si>
    <t>Portuguese Water Dog</t>
  </si>
  <si>
    <t>Puli</t>
  </si>
  <si>
    <t>Pyrenean Shepherd</t>
  </si>
  <si>
    <t>Redbone Coonhound</t>
  </si>
  <si>
    <t>Schipperke</t>
  </si>
  <si>
    <t>Scottish Deerhound</t>
  </si>
  <si>
    <t>Sealyham Terrier</t>
  </si>
  <si>
    <t>Shiba Inu</t>
  </si>
  <si>
    <t>Silky Terrier</t>
  </si>
  <si>
    <t>Skye Terrier</t>
  </si>
  <si>
    <t>Smooth Fox Terrier</t>
  </si>
  <si>
    <t>Soft-Coated Wheaten Terrier</t>
  </si>
  <si>
    <t>Spinone Italiano</t>
  </si>
  <si>
    <t>Standard Schnauzer</t>
  </si>
  <si>
    <t>Sussex Spaniel</t>
  </si>
  <si>
    <t>Swedish Vallhund</t>
  </si>
  <si>
    <t>Tibetan Mastiff</t>
  </si>
  <si>
    <t>Toy Fox Terrier</t>
  </si>
  <si>
    <t>Vizsla</t>
  </si>
  <si>
    <t>Weimaraner</t>
  </si>
  <si>
    <t>Welsh Terrier</t>
  </si>
  <si>
    <t>Wire Fox Terrier</t>
  </si>
  <si>
    <t>Wirehaired Pointing Griffon</t>
  </si>
  <si>
    <t>Xoloitzcuintli</t>
  </si>
  <si>
    <t>Breed</t>
  </si>
  <si>
    <t>type</t>
  </si>
  <si>
    <t>popularity</t>
  </si>
  <si>
    <t>size</t>
  </si>
  <si>
    <t>intelligence</t>
  </si>
  <si>
    <t>POPULARITY_IN US</t>
  </si>
  <si>
    <t>longevity</t>
  </si>
  <si>
    <t>our_score</t>
  </si>
  <si>
    <t>intelligence_2</t>
  </si>
  <si>
    <t>purchase_price</t>
  </si>
  <si>
    <t>purchase_price_2</t>
  </si>
  <si>
    <t>food_costs_per_yr</t>
  </si>
  <si>
    <t>food_costs_per_yr2</t>
  </si>
  <si>
    <t>groom_req</t>
  </si>
  <si>
    <t>groom_req2</t>
  </si>
  <si>
    <t>suit_for_children</t>
  </si>
  <si>
    <t>socre_4_kids</t>
  </si>
  <si>
    <t>lifetime_cost</t>
  </si>
  <si>
    <t>lifetime_costs2</t>
  </si>
  <si>
    <t>longevity_2</t>
  </si>
  <si>
    <t>genetic_aliments</t>
  </si>
  <si>
    <t>genetic_2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</si>
</sst>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"/>
  </numFmts>
  <fonts count="12" x14ac:knownFonts="1">
    <font>
      <sz val="10"/>
      <color rgb="FF000000"/>
      <name val="Arial"/>
      <scheme val="minor"/>
    </font>
    <font>
      <sz val="9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b/>
      <sz val="9"/>
      <color theme="1"/>
      <name val="Arial"/>
      <family val="2"/>
    </font>
    <font>
      <b/>
      <sz val="9"/>
      <color rgb="FFCC0000"/>
      <name val="Arial"/>
      <family val="2"/>
    </font>
    <font>
      <b/>
      <sz val="9"/>
      <color rgb="FF999999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rgb="FFCC0000"/>
      <name val="Arial"/>
      <family val="2"/>
    </font>
    <font>
      <sz val="9"/>
      <color rgb="FFB7B7B7"/>
      <name val="Arial"/>
      <family val="2"/>
    </font>
    <font>
      <sz val="9"/>
      <color rgb="FF999999"/>
      <name val="Arial"/>
      <family val="2"/>
    </font>
    <font>
      <b/>
      <sz val="9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3" borderId="0" xfId="0" applyFont="1" applyFill="1" applyAlignment="1">
      <alignment horizontal="left" vertical="top"/>
    </xf>
    <xf numFmtId="4" fontId="2" fillId="3" borderId="0" xfId="0" applyNumberFormat="1" applyFont="1" applyFill="1" applyAlignment="1">
      <alignment horizontal="left" vertical="top"/>
    </xf>
    <xf numFmtId="3" fontId="2" fillId="3" borderId="0" xfId="0" applyNumberFormat="1" applyFont="1" applyFill="1" applyAlignment="1">
      <alignment horizontal="left" vertical="top"/>
    </xf>
    <xf numFmtId="3" fontId="2" fillId="0" borderId="0" xfId="0" applyNumberFormat="1" applyFont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3" fontId="1" fillId="3" borderId="0" xfId="0" applyNumberFormat="1" applyFont="1" applyFill="1" applyAlignment="1">
      <alignment horizontal="left" vertical="top"/>
    </xf>
    <xf numFmtId="3" fontId="1" fillId="2" borderId="0" xfId="0" applyNumberFormat="1" applyFont="1" applyFill="1" applyAlignment="1">
      <alignment horizontal="left" vertical="top"/>
    </xf>
    <xf numFmtId="4" fontId="1" fillId="3" borderId="0" xfId="0" applyNumberFormat="1" applyFont="1" applyFill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3" fillId="3" borderId="0" xfId="0" applyNumberFormat="1" applyFont="1" applyFill="1" applyAlignment="1">
      <alignment vertical="top" wrapText="1"/>
    </xf>
    <xf numFmtId="4" fontId="3" fillId="3" borderId="0" xfId="0" applyNumberFormat="1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0" fontId="6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4" fontId="7" fillId="0" borderId="0" xfId="0" applyNumberFormat="1" applyFont="1" applyAlignment="1">
      <alignment vertical="top"/>
    </xf>
    <xf numFmtId="0" fontId="7" fillId="0" borderId="1" xfId="0" applyFont="1" applyBorder="1" applyAlignment="1">
      <alignment vertical="top"/>
    </xf>
    <xf numFmtId="164" fontId="7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9" fontId="10" fillId="0" borderId="0" xfId="0" applyNumberFormat="1" applyFont="1" applyAlignment="1">
      <alignment vertical="top"/>
    </xf>
    <xf numFmtId="9" fontId="9" fillId="0" borderId="0" xfId="0" applyNumberFormat="1" applyFont="1" applyAlignment="1">
      <alignment vertical="top"/>
    </xf>
    <xf numFmtId="0" fontId="7" fillId="3" borderId="0" xfId="0" applyFont="1" applyFill="1" applyAlignment="1">
      <alignment vertical="top"/>
    </xf>
    <xf numFmtId="0" fontId="7" fillId="3" borderId="1" xfId="0" applyFont="1" applyFill="1" applyBorder="1" applyAlignment="1">
      <alignment vertical="top"/>
    </xf>
    <xf numFmtId="4" fontId="7" fillId="3" borderId="0" xfId="0" applyNumberFormat="1" applyFont="1" applyFill="1" applyAlignment="1">
      <alignment vertical="top"/>
    </xf>
    <xf numFmtId="10" fontId="9" fillId="3" borderId="0" xfId="0" applyNumberFormat="1" applyFont="1" applyFill="1" applyAlignment="1">
      <alignment vertical="top"/>
    </xf>
    <xf numFmtId="0" fontId="6" fillId="2" borderId="0" xfId="0" applyFont="1" applyFill="1"/>
    <xf numFmtId="0" fontId="7" fillId="0" borderId="0" xfId="0" applyFont="1"/>
    <xf numFmtId="0" fontId="11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32"/>
  <sheetViews>
    <sheetView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C1" sqref="C1"/>
    </sheetView>
  </sheetViews>
  <sheetFormatPr baseColWidth="10" defaultColWidth="12.6640625" defaultRowHeight="15.75" customHeight="1" x14ac:dyDescent="0.15"/>
  <cols>
    <col min="1" max="1" width="32" customWidth="1"/>
    <col min="2" max="2" width="21.1640625" customWidth="1"/>
    <col min="3" max="3" width="52.5" customWidth="1"/>
    <col min="4" max="4" width="37.83203125" customWidth="1"/>
    <col min="5" max="5" width="31.33203125" customWidth="1"/>
    <col min="6" max="6" width="22.33203125" customWidth="1"/>
    <col min="7" max="7" width="19.83203125" customWidth="1"/>
    <col min="9" max="9" width="15.1640625" customWidth="1"/>
    <col min="10" max="10" width="8.6640625" customWidth="1"/>
    <col min="11" max="11" width="8.5" customWidth="1"/>
    <col min="12" max="12" width="15.1640625" customWidth="1"/>
  </cols>
  <sheetData>
    <row r="1" spans="1:12" ht="15.75" customHeight="1" x14ac:dyDescent="0.15">
      <c r="A1" s="6"/>
      <c r="B1" s="5" t="s">
        <v>0</v>
      </c>
      <c r="C1" s="41" t="s">
        <v>209</v>
      </c>
      <c r="D1" s="7" t="s">
        <v>1</v>
      </c>
      <c r="E1" s="8" t="s">
        <v>2</v>
      </c>
      <c r="F1" s="7" t="s">
        <v>3</v>
      </c>
      <c r="G1" s="5" t="s">
        <v>4</v>
      </c>
      <c r="H1" s="5" t="s">
        <v>5</v>
      </c>
      <c r="I1" s="9" t="s">
        <v>6</v>
      </c>
      <c r="J1" s="10" t="s">
        <v>7</v>
      </c>
      <c r="K1" s="5" t="s">
        <v>8</v>
      </c>
      <c r="L1" s="11"/>
    </row>
    <row r="2" spans="1:12" ht="15.75" customHeight="1" x14ac:dyDescent="0.15">
      <c r="A2" s="1" t="s">
        <v>10</v>
      </c>
      <c r="B2" s="1" t="s">
        <v>11</v>
      </c>
      <c r="C2" s="1">
        <v>45</v>
      </c>
      <c r="D2" s="1">
        <f t="shared" ref="D2:D88" si="0">RANK(C2,$C$2:$C$88,1)</f>
        <v>39</v>
      </c>
      <c r="E2" s="3">
        <v>12.52</v>
      </c>
      <c r="F2" s="1">
        <v>2</v>
      </c>
      <c r="G2" s="1" t="s">
        <v>12</v>
      </c>
      <c r="H2" s="1" t="s">
        <v>13</v>
      </c>
      <c r="I2" s="4" t="e">
        <f>J2+#REF!+#REF!+#REF!</f>
        <v>#REF!</v>
      </c>
      <c r="J2" s="4">
        <f>AVERAGE(1050,400,550,400,700,900,175,800,750,500)</f>
        <v>622.5</v>
      </c>
      <c r="K2" s="1" t="s">
        <v>14</v>
      </c>
      <c r="L2" s="1"/>
    </row>
    <row r="3" spans="1:12" ht="15.75" customHeight="1" x14ac:dyDescent="0.15">
      <c r="A3" s="1" t="s">
        <v>15</v>
      </c>
      <c r="B3" s="1" t="s">
        <v>16</v>
      </c>
      <c r="C3" s="1">
        <v>80</v>
      </c>
      <c r="D3" s="1">
        <f t="shared" si="0"/>
        <v>61</v>
      </c>
      <c r="E3" s="3">
        <v>14</v>
      </c>
      <c r="F3" s="1">
        <v>0</v>
      </c>
      <c r="G3" s="1" t="s">
        <v>17</v>
      </c>
      <c r="H3" s="1" t="s">
        <v>18</v>
      </c>
      <c r="I3" s="4" t="e">
        <f>J3+#REF!+#REF!+#REF!</f>
        <v>#REF!</v>
      </c>
      <c r="J3" s="4">
        <f>AVERAGE(250,850,1000,950,1200,850,950,850,600)</f>
        <v>833.33333333333337</v>
      </c>
      <c r="K3" s="1" t="s">
        <v>19</v>
      </c>
      <c r="L3" s="1"/>
    </row>
    <row r="4" spans="1:12" ht="15.75" customHeight="1" x14ac:dyDescent="0.15">
      <c r="A4" s="1" t="s">
        <v>20</v>
      </c>
      <c r="B4" s="1" t="s">
        <v>21</v>
      </c>
      <c r="C4" s="1">
        <v>30</v>
      </c>
      <c r="D4" s="1">
        <f t="shared" si="0"/>
        <v>30</v>
      </c>
      <c r="E4" s="3">
        <v>12.92</v>
      </c>
      <c r="F4" s="1">
        <v>0</v>
      </c>
      <c r="G4" s="1" t="s">
        <v>12</v>
      </c>
      <c r="H4" s="1" t="s">
        <v>22</v>
      </c>
      <c r="I4" s="4" t="e">
        <f>J4+#REF!+#REF!+#REF!</f>
        <v>#REF!</v>
      </c>
      <c r="J4" s="4">
        <f>AVERAGE(375,350,500,600,500,650,300,800,900,1200)</f>
        <v>617.5</v>
      </c>
      <c r="K4" s="1" t="s">
        <v>14</v>
      </c>
      <c r="L4" s="1"/>
    </row>
    <row r="5" spans="1:12" ht="15.75" customHeight="1" x14ac:dyDescent="0.15">
      <c r="A5" s="1" t="s">
        <v>23</v>
      </c>
      <c r="B5" s="1" t="s">
        <v>16</v>
      </c>
      <c r="C5" s="1">
        <v>59</v>
      </c>
      <c r="D5" s="1">
        <f t="shared" si="0"/>
        <v>48</v>
      </c>
      <c r="E5" s="3">
        <v>13.84</v>
      </c>
      <c r="F5" s="1">
        <v>2</v>
      </c>
      <c r="G5" s="1" t="s">
        <v>17</v>
      </c>
      <c r="H5" s="1" t="s">
        <v>18</v>
      </c>
      <c r="I5" s="4" t="e">
        <f>J5+#REF!+#REF!+#REF!</f>
        <v>#REF!</v>
      </c>
      <c r="J5" s="4">
        <f>AVERAGE(450,450,500,400,300,450,600,500,300,400)</f>
        <v>435</v>
      </c>
      <c r="K5" s="1" t="s">
        <v>14</v>
      </c>
      <c r="L5" s="1"/>
    </row>
    <row r="6" spans="1:12" ht="15.75" customHeight="1" x14ac:dyDescent="0.15">
      <c r="A6" s="1" t="s">
        <v>24</v>
      </c>
      <c r="B6" s="1" t="s">
        <v>21</v>
      </c>
      <c r="C6" s="1">
        <v>130</v>
      </c>
      <c r="D6" s="1">
        <f t="shared" si="0"/>
        <v>81</v>
      </c>
      <c r="E6" s="3">
        <v>12.49</v>
      </c>
      <c r="F6" s="1">
        <v>1</v>
      </c>
      <c r="G6" s="1" t="s">
        <v>12</v>
      </c>
      <c r="H6" s="1" t="s">
        <v>18</v>
      </c>
      <c r="I6" s="4" t="e">
        <f>J6+#REF!+#REF!+#REF!</f>
        <v>#REF!</v>
      </c>
      <c r="J6" s="4">
        <v>750</v>
      </c>
      <c r="K6" s="1" t="s">
        <v>19</v>
      </c>
      <c r="L6" s="1"/>
    </row>
    <row r="7" spans="1:12" ht="15.75" customHeight="1" x14ac:dyDescent="0.15">
      <c r="A7" s="1" t="s">
        <v>25</v>
      </c>
      <c r="B7" s="1" t="s">
        <v>21</v>
      </c>
      <c r="C7" s="1">
        <v>63</v>
      </c>
      <c r="D7" s="1">
        <f t="shared" si="0"/>
        <v>51</v>
      </c>
      <c r="E7" s="3">
        <v>11.66</v>
      </c>
      <c r="F7" s="1">
        <v>0</v>
      </c>
      <c r="G7" s="1" t="s">
        <v>12</v>
      </c>
      <c r="H7" s="1" t="s">
        <v>22</v>
      </c>
      <c r="I7" s="4" t="e">
        <f>J7+#REF!+#REF!+#REF!</f>
        <v>#REF!</v>
      </c>
      <c r="J7" s="4">
        <f>AVERAGE(600,1000,800,600,1000,1000,600,600,800,1000)</f>
        <v>800</v>
      </c>
      <c r="K7" s="1" t="s">
        <v>19</v>
      </c>
      <c r="L7" s="1"/>
    </row>
    <row r="8" spans="1:12" ht="15.75" customHeight="1" x14ac:dyDescent="0.15">
      <c r="A8" s="11" t="s">
        <v>26</v>
      </c>
      <c r="B8" s="11" t="s">
        <v>21</v>
      </c>
      <c r="C8" s="11">
        <v>27</v>
      </c>
      <c r="D8" s="1">
        <f t="shared" si="0"/>
        <v>27</v>
      </c>
      <c r="E8" s="14">
        <f>AVERAGE(11,14)</f>
        <v>12.5</v>
      </c>
      <c r="F8" s="11">
        <v>2</v>
      </c>
      <c r="G8" s="11" t="s">
        <v>17</v>
      </c>
      <c r="H8" s="11" t="s">
        <v>22</v>
      </c>
      <c r="I8" s="12" t="e">
        <f>J8+#REF!+#REF!+#REF!</f>
        <v>#REF!</v>
      </c>
      <c r="J8" s="12">
        <f>AVERAGE(500,250,450,600,500,500,200,800,450,400)</f>
        <v>465</v>
      </c>
      <c r="K8" s="11" t="s">
        <v>14</v>
      </c>
      <c r="L8" s="11"/>
    </row>
    <row r="9" spans="1:12" ht="15.75" customHeight="1" x14ac:dyDescent="0.15">
      <c r="A9" s="1" t="s">
        <v>27</v>
      </c>
      <c r="B9" s="1" t="s">
        <v>28</v>
      </c>
      <c r="C9" s="1">
        <v>38</v>
      </c>
      <c r="D9" s="1">
        <f t="shared" si="0"/>
        <v>33</v>
      </c>
      <c r="E9" s="3">
        <v>13</v>
      </c>
      <c r="F9" s="1">
        <v>5</v>
      </c>
      <c r="G9" s="1" t="s">
        <v>17</v>
      </c>
      <c r="H9" s="1" t="s">
        <v>13</v>
      </c>
      <c r="I9" s="4" t="e">
        <f>J9+#REF!+#REF!+#REF!</f>
        <v>#REF!</v>
      </c>
      <c r="J9" s="4">
        <f>AVERAGE(400,650,725,700,1000,700,725,850,1000,650)</f>
        <v>740</v>
      </c>
      <c r="K9" s="1" t="s">
        <v>19</v>
      </c>
      <c r="L9" s="1"/>
    </row>
    <row r="10" spans="1:12" ht="15.75" customHeight="1" x14ac:dyDescent="0.15">
      <c r="A10" s="1" t="s">
        <v>29</v>
      </c>
      <c r="B10" s="1" t="s">
        <v>11</v>
      </c>
      <c r="C10" s="1">
        <v>60</v>
      </c>
      <c r="D10" s="1">
        <f t="shared" si="0"/>
        <v>49</v>
      </c>
      <c r="E10" s="3">
        <v>11.67</v>
      </c>
      <c r="F10" s="1">
        <v>1</v>
      </c>
      <c r="G10" s="1" t="s">
        <v>12</v>
      </c>
      <c r="H10" s="1" t="s">
        <v>13</v>
      </c>
      <c r="I10" s="4" t="e">
        <f>J10+#REF!+#REF!+#REF!</f>
        <v>#REF!</v>
      </c>
      <c r="J10" s="4">
        <f>AVERAGE(500,1000,500,250,750,350,600,400,500,450)</f>
        <v>530</v>
      </c>
      <c r="K10" s="1" t="s">
        <v>14</v>
      </c>
      <c r="L10" s="1"/>
    </row>
    <row r="11" spans="1:12" ht="15.75" customHeight="1" x14ac:dyDescent="0.15">
      <c r="A11" s="11" t="s">
        <v>30</v>
      </c>
      <c r="B11" s="11" t="s">
        <v>11</v>
      </c>
      <c r="C11" s="11">
        <v>20</v>
      </c>
      <c r="D11" s="1">
        <f t="shared" si="0"/>
        <v>20</v>
      </c>
      <c r="E11" s="14">
        <v>12.53</v>
      </c>
      <c r="F11" s="11">
        <v>5</v>
      </c>
      <c r="G11" s="11" t="s">
        <v>17</v>
      </c>
      <c r="H11" s="11" t="s">
        <v>13</v>
      </c>
      <c r="I11" s="12" t="e">
        <f>J11+#REF!+#REF!+#REF!</f>
        <v>#REF!</v>
      </c>
      <c r="J11" s="12">
        <f>AVERAGE(650,1000,150,300,600,500,200,500,250,500)</f>
        <v>465</v>
      </c>
      <c r="K11" s="11" t="s">
        <v>14</v>
      </c>
      <c r="L11" s="11"/>
    </row>
    <row r="12" spans="1:12" ht="15.75" customHeight="1" x14ac:dyDescent="0.15">
      <c r="A12" s="1" t="s">
        <v>31</v>
      </c>
      <c r="B12" s="1" t="s">
        <v>32</v>
      </c>
      <c r="C12" s="1">
        <v>16</v>
      </c>
      <c r="D12" s="1">
        <f t="shared" si="0"/>
        <v>16</v>
      </c>
      <c r="E12" s="3">
        <v>12.58</v>
      </c>
      <c r="F12" s="1">
        <v>0</v>
      </c>
      <c r="G12" s="1" t="s">
        <v>12</v>
      </c>
      <c r="H12" s="1" t="s">
        <v>33</v>
      </c>
      <c r="I12" s="4" t="e">
        <f>J12+#REF!+#REF!+#REF!</f>
        <v>#REF!</v>
      </c>
      <c r="J12" s="4">
        <f>AVERAGE(450,550,650,1000,500,750,600,700,600,700)</f>
        <v>650</v>
      </c>
      <c r="K12" s="1" t="s">
        <v>14</v>
      </c>
      <c r="L12" s="1"/>
    </row>
    <row r="13" spans="1:12" ht="15.75" customHeight="1" x14ac:dyDescent="0.15">
      <c r="A13" s="1" t="s">
        <v>34</v>
      </c>
      <c r="B13" s="1" t="s">
        <v>35</v>
      </c>
      <c r="C13" s="1">
        <v>62</v>
      </c>
      <c r="D13" s="1">
        <f t="shared" si="0"/>
        <v>50</v>
      </c>
      <c r="E13" s="3">
        <v>13.92</v>
      </c>
      <c r="F13" s="1">
        <v>1</v>
      </c>
      <c r="G13" s="1" t="s">
        <v>17</v>
      </c>
      <c r="H13" s="1" t="s">
        <v>36</v>
      </c>
      <c r="I13" s="4" t="e">
        <f>J13+#REF!+#REF!+#REF!</f>
        <v>#REF!</v>
      </c>
      <c r="J13" s="4">
        <f>AVERAGE(475,400,250,475,175,300,175,400,550,300)</f>
        <v>350</v>
      </c>
      <c r="K13" s="1" t="s">
        <v>14</v>
      </c>
      <c r="L13" s="1"/>
    </row>
    <row r="14" spans="1:12" ht="15.75" customHeight="1" x14ac:dyDescent="0.15">
      <c r="A14" s="1" t="s">
        <v>37</v>
      </c>
      <c r="B14" s="1" t="s">
        <v>28</v>
      </c>
      <c r="C14" s="1">
        <v>139</v>
      </c>
      <c r="D14" s="1">
        <f t="shared" si="0"/>
        <v>84</v>
      </c>
      <c r="E14" s="3">
        <v>11.42</v>
      </c>
      <c r="F14" s="1">
        <v>0</v>
      </c>
      <c r="G14" s="1" t="s">
        <v>17</v>
      </c>
      <c r="H14" s="1" t="s">
        <v>18</v>
      </c>
      <c r="I14" s="4" t="e">
        <f>J14+#REF!+#REF!+#REF!</f>
        <v>#REF!</v>
      </c>
      <c r="J14" s="4">
        <f>AVERAGE(350,350,200,400,400,350,800,750,750,750)</f>
        <v>510</v>
      </c>
      <c r="K14" s="1" t="s">
        <v>14</v>
      </c>
      <c r="L14" s="1"/>
    </row>
    <row r="15" spans="1:12" ht="15.75" customHeight="1" x14ac:dyDescent="0.15">
      <c r="A15" s="1" t="s">
        <v>38</v>
      </c>
      <c r="B15" s="1" t="s">
        <v>39</v>
      </c>
      <c r="C15" s="1">
        <v>9</v>
      </c>
      <c r="D15" s="1">
        <f t="shared" si="0"/>
        <v>9</v>
      </c>
      <c r="E15" s="3">
        <v>12.63</v>
      </c>
      <c r="F15" s="1">
        <v>2</v>
      </c>
      <c r="G15" s="1" t="s">
        <v>17</v>
      </c>
      <c r="H15" s="1" t="s">
        <v>33</v>
      </c>
      <c r="I15" s="4" t="e">
        <f>J15+#REF!+#REF!+#REF!</f>
        <v>#REF!</v>
      </c>
      <c r="J15" s="4">
        <f>AVERAGE(400,200,450,250,500,750,700,500,350,125)</f>
        <v>422.5</v>
      </c>
      <c r="K15" s="1" t="s">
        <v>14</v>
      </c>
      <c r="L15" s="1"/>
    </row>
    <row r="16" spans="1:12" ht="15.75" customHeight="1" x14ac:dyDescent="0.15">
      <c r="A16" s="11" t="s">
        <v>40</v>
      </c>
      <c r="B16" s="11" t="s">
        <v>16</v>
      </c>
      <c r="C16" s="11">
        <v>12</v>
      </c>
      <c r="D16" s="1">
        <f t="shared" si="0"/>
        <v>12</v>
      </c>
      <c r="E16" s="14">
        <v>11.81</v>
      </c>
      <c r="F16" s="11">
        <v>2</v>
      </c>
      <c r="G16" s="11" t="s">
        <v>17</v>
      </c>
      <c r="H16" s="11" t="s">
        <v>22</v>
      </c>
      <c r="I16" s="12" t="e">
        <f>J16+#REF!+#REF!+#REF!</f>
        <v>#REF!</v>
      </c>
      <c r="J16" s="12">
        <f>AVERAGE(550,595,200,1300,400,1600,350,450,1300,400)</f>
        <v>714.5</v>
      </c>
      <c r="K16" s="11" t="s">
        <v>19</v>
      </c>
      <c r="L16" s="11"/>
    </row>
    <row r="17" spans="1:12" ht="15.75" customHeight="1" x14ac:dyDescent="0.15">
      <c r="A17" s="11" t="s">
        <v>41</v>
      </c>
      <c r="B17" s="11" t="s">
        <v>28</v>
      </c>
      <c r="C17" s="11">
        <v>14</v>
      </c>
      <c r="D17" s="1">
        <f t="shared" si="0"/>
        <v>14</v>
      </c>
      <c r="E17" s="14">
        <f>AVERAGE(15,18)</f>
        <v>16.5</v>
      </c>
      <c r="F17" s="11">
        <v>1</v>
      </c>
      <c r="G17" s="11" t="s">
        <v>17</v>
      </c>
      <c r="H17" s="11" t="s">
        <v>36</v>
      </c>
      <c r="I17" s="12" t="e">
        <f>J17+#REF!+#REF!+#REF!</f>
        <v>#REF!</v>
      </c>
      <c r="J17" s="12">
        <f>AVERAGE(850,200,500,400,650,300,700,450,325,1500)</f>
        <v>587.5</v>
      </c>
      <c r="K17" s="11" t="s">
        <v>14</v>
      </c>
      <c r="L17" s="11"/>
    </row>
    <row r="18" spans="1:12" ht="15.75" customHeight="1" x14ac:dyDescent="0.15">
      <c r="A18" s="1" t="s">
        <v>42</v>
      </c>
      <c r="B18" s="1" t="s">
        <v>16</v>
      </c>
      <c r="C18" s="1">
        <v>121</v>
      </c>
      <c r="D18" s="1">
        <f t="shared" si="0"/>
        <v>77</v>
      </c>
      <c r="E18" s="3">
        <v>11.05</v>
      </c>
      <c r="F18" s="1">
        <v>0</v>
      </c>
      <c r="G18" s="1" t="s">
        <v>17</v>
      </c>
      <c r="H18" s="1" t="s">
        <v>18</v>
      </c>
      <c r="I18" s="4" t="e">
        <f>J18+#REF!+#REF!+#REF!</f>
        <v>#REF!</v>
      </c>
      <c r="J18" s="4">
        <f>AVERAGE(200,650,900,500,650,650,600,800,650,800)</f>
        <v>640</v>
      </c>
      <c r="K18" s="1" t="s">
        <v>14</v>
      </c>
      <c r="L18" s="1"/>
    </row>
    <row r="19" spans="1:12" ht="15.75" customHeight="1" x14ac:dyDescent="0.15">
      <c r="A19" s="1" t="s">
        <v>43</v>
      </c>
      <c r="B19" s="1" t="s">
        <v>39</v>
      </c>
      <c r="C19" s="1">
        <v>57</v>
      </c>
      <c r="D19" s="1">
        <f t="shared" si="0"/>
        <v>46</v>
      </c>
      <c r="E19" s="3">
        <v>12.87</v>
      </c>
      <c r="F19" s="1">
        <v>0</v>
      </c>
      <c r="G19" s="1" t="s">
        <v>12</v>
      </c>
      <c r="H19" s="1" t="s">
        <v>33</v>
      </c>
      <c r="I19" s="4" t="e">
        <f>J19+#REF!+#REF!+#REF!</f>
        <v>#REF!</v>
      </c>
      <c r="J19" s="4">
        <f>AVERAGE(1100,1100,750,750,1200,650,1100,900,600,1000)</f>
        <v>915</v>
      </c>
      <c r="K19" s="1" t="s">
        <v>19</v>
      </c>
      <c r="L19" s="1"/>
    </row>
    <row r="20" spans="1:12" ht="15.75" customHeight="1" x14ac:dyDescent="0.15">
      <c r="A20" s="1" t="s">
        <v>44</v>
      </c>
      <c r="B20" s="1" t="s">
        <v>21</v>
      </c>
      <c r="C20" s="1">
        <v>29</v>
      </c>
      <c r="D20" s="1">
        <f t="shared" si="0"/>
        <v>29</v>
      </c>
      <c r="E20" s="3">
        <v>12.54</v>
      </c>
      <c r="F20" s="1">
        <v>4</v>
      </c>
      <c r="G20" s="1" t="s">
        <v>12</v>
      </c>
      <c r="H20" s="1" t="s">
        <v>22</v>
      </c>
      <c r="I20" s="4" t="e">
        <f>J20+#REF!+#REF!+#REF!</f>
        <v>#REF!</v>
      </c>
      <c r="J20" s="4">
        <f>AVERAGE(950,350,1500,500,450,650,400,450,400,500)</f>
        <v>615</v>
      </c>
      <c r="K20" s="1" t="s">
        <v>14</v>
      </c>
      <c r="L20" s="1"/>
    </row>
    <row r="21" spans="1:12" ht="15.75" customHeight="1" x14ac:dyDescent="0.15">
      <c r="A21" s="1" t="s">
        <v>45</v>
      </c>
      <c r="B21" s="1" t="s">
        <v>16</v>
      </c>
      <c r="C21" s="1">
        <v>35</v>
      </c>
      <c r="D21" s="1">
        <f t="shared" si="0"/>
        <v>32</v>
      </c>
      <c r="E21" s="3">
        <v>12.8</v>
      </c>
      <c r="F21" s="1">
        <v>3</v>
      </c>
      <c r="G21" s="1" t="s">
        <v>17</v>
      </c>
      <c r="H21" s="1" t="s">
        <v>33</v>
      </c>
      <c r="I21" s="4" t="e">
        <f>J21+#REF!+#REF!+#REF!</f>
        <v>#REF!</v>
      </c>
      <c r="J21" s="4">
        <f>AVERAGE(300,600,750,550,450,400,600,275,650,800)</f>
        <v>537.5</v>
      </c>
      <c r="K21" s="1" t="s">
        <v>14</v>
      </c>
      <c r="L21" s="1"/>
    </row>
    <row r="22" spans="1:12" ht="15.75" customHeight="1" x14ac:dyDescent="0.15">
      <c r="A22" s="1" t="s">
        <v>46</v>
      </c>
      <c r="B22" s="1" t="s">
        <v>16</v>
      </c>
      <c r="C22" s="1">
        <v>134</v>
      </c>
      <c r="D22" s="1">
        <f t="shared" si="0"/>
        <v>83</v>
      </c>
      <c r="E22" s="3">
        <v>13.51</v>
      </c>
      <c r="F22" s="1">
        <v>2</v>
      </c>
      <c r="G22" s="1" t="s">
        <v>17</v>
      </c>
      <c r="H22" s="1" t="s">
        <v>33</v>
      </c>
      <c r="I22" s="4" t="e">
        <f>J22+#REF!+#REF!+#REF!</f>
        <v>#REF!</v>
      </c>
      <c r="J22" s="4">
        <f>AVERAGE(1800,1250,1400,250,250,1400)</f>
        <v>1058.3333333333333</v>
      </c>
      <c r="K22" s="1" t="s">
        <v>19</v>
      </c>
      <c r="L22" s="1"/>
    </row>
    <row r="23" spans="1:12" ht="15.75" customHeight="1" x14ac:dyDescent="0.15">
      <c r="A23" s="1" t="s">
        <v>47</v>
      </c>
      <c r="B23" s="1" t="s">
        <v>35</v>
      </c>
      <c r="C23" s="1">
        <v>8</v>
      </c>
      <c r="D23" s="1">
        <f t="shared" si="0"/>
        <v>8</v>
      </c>
      <c r="E23" s="3">
        <v>11.95</v>
      </c>
      <c r="F23" s="1">
        <v>2</v>
      </c>
      <c r="G23" s="1" t="s">
        <v>12</v>
      </c>
      <c r="H23" s="1" t="s">
        <v>13</v>
      </c>
      <c r="I23" s="4" t="e">
        <f>J23+#REF!+#REF!+#REF!</f>
        <v>#REF!</v>
      </c>
      <c r="J23" s="4">
        <f>AVERAGE(950,1000,600,1000,500,1500,950,700,1000,800)</f>
        <v>900</v>
      </c>
      <c r="K23" s="1" t="s">
        <v>19</v>
      </c>
      <c r="L23" s="1"/>
    </row>
    <row r="24" spans="1:12" ht="15.75" customHeight="1" x14ac:dyDescent="0.15">
      <c r="A24" s="1" t="s">
        <v>48</v>
      </c>
      <c r="B24" s="1" t="s">
        <v>35</v>
      </c>
      <c r="C24" s="1">
        <v>39</v>
      </c>
      <c r="D24" s="1">
        <f t="shared" si="0"/>
        <v>34</v>
      </c>
      <c r="E24" s="3">
        <v>12.21</v>
      </c>
      <c r="F24" s="1">
        <v>0</v>
      </c>
      <c r="G24" s="1" t="s">
        <v>17</v>
      </c>
      <c r="H24" s="1" t="s">
        <v>33</v>
      </c>
      <c r="I24" s="4" t="e">
        <f>J24+#REF!+#REF!+#REF!</f>
        <v>#REF!</v>
      </c>
      <c r="J24" s="4">
        <f>AVERAGE(250,895,350,600,1000,700,1500,800,280,550)</f>
        <v>692.5</v>
      </c>
      <c r="K24" s="1" t="s">
        <v>14</v>
      </c>
      <c r="L24" s="1"/>
    </row>
    <row r="25" spans="1:12" ht="15.75" customHeight="1" x14ac:dyDescent="0.15">
      <c r="A25" s="11" t="s">
        <v>49</v>
      </c>
      <c r="B25" s="11" t="s">
        <v>21</v>
      </c>
      <c r="C25" s="11">
        <v>15</v>
      </c>
      <c r="D25" s="1">
        <f t="shared" si="0"/>
        <v>15</v>
      </c>
      <c r="E25" s="14">
        <v>11.46</v>
      </c>
      <c r="F25" s="11">
        <v>1</v>
      </c>
      <c r="G25" s="11" t="s">
        <v>50</v>
      </c>
      <c r="H25" s="11" t="s">
        <v>22</v>
      </c>
      <c r="I25" s="12" t="e">
        <f>J25+#REF!+#REF!+#REF!</f>
        <v>#REF!</v>
      </c>
      <c r="J25" s="12">
        <f>AVERAGE(400,850,850,200,500,700,250,600,400,700)</f>
        <v>545</v>
      </c>
      <c r="K25" s="11" t="s">
        <v>14</v>
      </c>
      <c r="L25" s="11"/>
    </row>
    <row r="26" spans="1:12" ht="15.75" customHeight="1" x14ac:dyDescent="0.15">
      <c r="A26" s="1" t="s">
        <v>51</v>
      </c>
      <c r="B26" s="1" t="s">
        <v>21</v>
      </c>
      <c r="C26" s="1">
        <v>115</v>
      </c>
      <c r="D26" s="1">
        <f t="shared" si="0"/>
        <v>74</v>
      </c>
      <c r="E26" s="3">
        <v>12.42</v>
      </c>
      <c r="F26" s="1">
        <v>1</v>
      </c>
      <c r="G26" s="1" t="s">
        <v>50</v>
      </c>
      <c r="H26" s="1" t="s">
        <v>33</v>
      </c>
      <c r="I26" s="4" t="e">
        <f>J26+#REF!+#REF!+#REF!</f>
        <v>#REF!</v>
      </c>
      <c r="J26" s="4">
        <f>AVERAGE(300,500,300,350,50,50,300,500)</f>
        <v>293.75</v>
      </c>
      <c r="K26" s="1" t="s">
        <v>14</v>
      </c>
      <c r="L26" s="1"/>
    </row>
    <row r="27" spans="1:12" ht="15.75" customHeight="1" x14ac:dyDescent="0.15">
      <c r="A27" s="1" t="s">
        <v>52</v>
      </c>
      <c r="B27" s="1" t="s">
        <v>35</v>
      </c>
      <c r="C27" s="1">
        <v>114</v>
      </c>
      <c r="D27" s="1">
        <f t="shared" si="0"/>
        <v>73</v>
      </c>
      <c r="E27" s="3">
        <v>14.42</v>
      </c>
      <c r="F27" s="1">
        <v>0</v>
      </c>
      <c r="G27" s="1" t="s">
        <v>17</v>
      </c>
      <c r="H27" s="1" t="s">
        <v>33</v>
      </c>
      <c r="I27" s="4" t="e">
        <f>J27+#REF!+#REF!+#REF!</f>
        <v>#REF!</v>
      </c>
      <c r="J27" s="4">
        <f>AVERAGE(700,1000,2000,800,1000,500,1000,800,1500,1200)</f>
        <v>1050</v>
      </c>
      <c r="K27" s="1" t="s">
        <v>19</v>
      </c>
      <c r="L27" s="1"/>
    </row>
    <row r="28" spans="1:12" ht="15.75" customHeight="1" x14ac:dyDescent="0.15">
      <c r="A28" s="1" t="s">
        <v>53</v>
      </c>
      <c r="B28" s="1" t="s">
        <v>21</v>
      </c>
      <c r="C28" s="1">
        <v>1</v>
      </c>
      <c r="D28" s="1">
        <f t="shared" si="0"/>
        <v>1</v>
      </c>
      <c r="E28" s="3">
        <v>12.04</v>
      </c>
      <c r="F28" s="1">
        <v>3</v>
      </c>
      <c r="G28" s="1" t="s">
        <v>12</v>
      </c>
      <c r="H28" s="1" t="s">
        <v>13</v>
      </c>
      <c r="I28" s="4" t="e">
        <f>J28+#REF!+#REF!+#REF!</f>
        <v>#REF!</v>
      </c>
      <c r="J28" s="4">
        <f>AVERAGE(1200,750,1500,500,299,700,600,600,1200,750)</f>
        <v>809.9</v>
      </c>
      <c r="K28" s="1" t="s">
        <v>19</v>
      </c>
      <c r="L28" s="1"/>
    </row>
    <row r="29" spans="1:12" ht="15.75" customHeight="1" x14ac:dyDescent="0.15">
      <c r="A29" s="11" t="s">
        <v>54</v>
      </c>
      <c r="B29" s="11" t="s">
        <v>28</v>
      </c>
      <c r="C29" s="11">
        <v>23</v>
      </c>
      <c r="D29" s="1">
        <f t="shared" si="0"/>
        <v>23</v>
      </c>
      <c r="E29" s="14">
        <v>12.25</v>
      </c>
      <c r="F29" s="11">
        <v>1</v>
      </c>
      <c r="G29" s="11" t="s">
        <v>17</v>
      </c>
      <c r="H29" s="11" t="s">
        <v>36</v>
      </c>
      <c r="I29" s="12" t="e">
        <f>J29+#REF!+#REF!+#REF!</f>
        <v>#REF!</v>
      </c>
      <c r="J29" s="12">
        <f>AVERAGE(495,800,300,600,700,550,1000,550,500,1000)</f>
        <v>649.5</v>
      </c>
      <c r="K29" s="11" t="s">
        <v>14</v>
      </c>
      <c r="L29" s="11"/>
    </row>
    <row r="30" spans="1:12" ht="15.75" customHeight="1" x14ac:dyDescent="0.15">
      <c r="A30" s="1" t="s">
        <v>55</v>
      </c>
      <c r="B30" s="1" t="s">
        <v>28</v>
      </c>
      <c r="C30" s="1">
        <v>17</v>
      </c>
      <c r="D30" s="1">
        <f t="shared" si="0"/>
        <v>17</v>
      </c>
      <c r="E30" s="3">
        <v>9.67</v>
      </c>
      <c r="F30" s="1">
        <v>1</v>
      </c>
      <c r="G30" s="1" t="s">
        <v>17</v>
      </c>
      <c r="H30" s="1" t="s">
        <v>22</v>
      </c>
      <c r="I30" s="4" t="e">
        <f>J30+#REF!+#REF!+#REF!</f>
        <v>#REF!</v>
      </c>
      <c r="J30" s="4">
        <f>AVERAGE(700,1000,350,750,500,500,200,800,400,1500)</f>
        <v>670</v>
      </c>
      <c r="K30" s="1" t="s">
        <v>14</v>
      </c>
      <c r="L30" s="1"/>
    </row>
    <row r="31" spans="1:12" ht="15.75" customHeight="1" x14ac:dyDescent="0.15">
      <c r="A31" s="1" t="s">
        <v>56</v>
      </c>
      <c r="B31" s="1" t="s">
        <v>28</v>
      </c>
      <c r="C31" s="1">
        <v>11</v>
      </c>
      <c r="D31" s="1">
        <f t="shared" si="0"/>
        <v>11</v>
      </c>
      <c r="E31" s="3">
        <v>13.2</v>
      </c>
      <c r="F31" s="1">
        <v>1</v>
      </c>
      <c r="G31" s="1" t="s">
        <v>17</v>
      </c>
      <c r="H31" s="1" t="s">
        <v>57</v>
      </c>
      <c r="I31" s="4" t="e">
        <f>J31+#REF!+#REF!+#REF!</f>
        <v>#REF!</v>
      </c>
      <c r="J31" s="4">
        <f>AVERAGE(500,500,275,1200,400,700,500,600,750,400)</f>
        <v>582.5</v>
      </c>
      <c r="K31" s="1" t="s">
        <v>14</v>
      </c>
      <c r="L31" s="1"/>
    </row>
    <row r="32" spans="1:12" ht="15.75" customHeight="1" x14ac:dyDescent="0.15">
      <c r="A32" s="1" t="s">
        <v>58</v>
      </c>
      <c r="B32" s="1" t="s">
        <v>11</v>
      </c>
      <c r="C32" s="1">
        <v>24</v>
      </c>
      <c r="D32" s="1">
        <f t="shared" si="0"/>
        <v>24</v>
      </c>
      <c r="E32" s="3">
        <v>12.28</v>
      </c>
      <c r="F32" s="1">
        <v>2</v>
      </c>
      <c r="G32" s="1" t="s">
        <v>12</v>
      </c>
      <c r="H32" s="1" t="s">
        <v>33</v>
      </c>
      <c r="I32" s="4" t="e">
        <f>J32+#REF!+#REF!+#REF!</f>
        <v>#REF!</v>
      </c>
      <c r="J32" s="4">
        <f>AVERAGE(250,300,600,350,1000,400,350,500,1200,700)</f>
        <v>565</v>
      </c>
      <c r="K32" s="1" t="s">
        <v>14</v>
      </c>
      <c r="L32" s="1"/>
    </row>
    <row r="33" spans="1:12" ht="15.75" customHeight="1" x14ac:dyDescent="0.15">
      <c r="A33" s="1" t="s">
        <v>59</v>
      </c>
      <c r="B33" s="1" t="s">
        <v>28</v>
      </c>
      <c r="C33" s="1">
        <v>5</v>
      </c>
      <c r="D33" s="1">
        <f t="shared" si="0"/>
        <v>5</v>
      </c>
      <c r="E33" s="3">
        <v>12.6</v>
      </c>
      <c r="F33" s="1">
        <v>4</v>
      </c>
      <c r="G33" s="1" t="s">
        <v>17</v>
      </c>
      <c r="H33" s="1" t="s">
        <v>18</v>
      </c>
      <c r="I33" s="4" t="e">
        <f>J33+#REF!+#REF!+#REF!</f>
        <v>#REF!</v>
      </c>
      <c r="J33" s="4">
        <f>AVERAGE(1000,1200,700,1000,495,2000,2800,700,400,275)</f>
        <v>1057</v>
      </c>
      <c r="K33" s="1" t="s">
        <v>19</v>
      </c>
      <c r="L33" s="1"/>
    </row>
    <row r="34" spans="1:12" ht="15.75" customHeight="1" x14ac:dyDescent="0.15">
      <c r="A34" s="1" t="s">
        <v>60</v>
      </c>
      <c r="B34" s="1" t="s">
        <v>21</v>
      </c>
      <c r="C34" s="1">
        <v>70</v>
      </c>
      <c r="D34" s="1">
        <f t="shared" si="0"/>
        <v>56</v>
      </c>
      <c r="E34" s="3">
        <v>11.63</v>
      </c>
      <c r="F34" s="1">
        <v>2</v>
      </c>
      <c r="G34" s="1" t="s">
        <v>50</v>
      </c>
      <c r="H34" s="1" t="s">
        <v>18</v>
      </c>
      <c r="I34" s="4" t="e">
        <f>J34+#REF!+#REF!+#REF!</f>
        <v>#REF!</v>
      </c>
      <c r="J34" s="4">
        <f>AVERAGE(600,500,600,400,600,400,300,1000,300,550)</f>
        <v>525</v>
      </c>
      <c r="K34" s="1" t="s">
        <v>14</v>
      </c>
      <c r="L34" s="1"/>
    </row>
    <row r="35" spans="1:12" ht="15.75" customHeight="1" x14ac:dyDescent="0.15">
      <c r="A35" s="1" t="s">
        <v>61</v>
      </c>
      <c r="B35" s="1" t="s">
        <v>39</v>
      </c>
      <c r="C35" s="1">
        <v>151</v>
      </c>
      <c r="D35" s="1">
        <f t="shared" si="0"/>
        <v>86</v>
      </c>
      <c r="E35" s="3">
        <v>11.83</v>
      </c>
      <c r="F35" s="1">
        <v>0</v>
      </c>
      <c r="G35" s="1" t="s">
        <v>12</v>
      </c>
      <c r="H35" s="1" t="s">
        <v>18</v>
      </c>
      <c r="I35" s="4" t="e">
        <f>J35+#REF!+#REF!+#REF!</f>
        <v>#REF!</v>
      </c>
      <c r="J35" s="4">
        <f>AVERAGE(1000,475,1000,1000,1000,1000)</f>
        <v>912.5</v>
      </c>
      <c r="K35" s="1" t="s">
        <v>19</v>
      </c>
      <c r="L35" s="1"/>
    </row>
    <row r="36" spans="1:12" ht="15.75" customHeight="1" x14ac:dyDescent="0.15">
      <c r="A36" s="1" t="s">
        <v>62</v>
      </c>
      <c r="B36" s="1" t="s">
        <v>28</v>
      </c>
      <c r="C36" s="1">
        <v>77</v>
      </c>
      <c r="D36" s="1">
        <f t="shared" si="0"/>
        <v>59</v>
      </c>
      <c r="E36" s="3">
        <v>12</v>
      </c>
      <c r="F36" s="1">
        <v>0</v>
      </c>
      <c r="G36" s="1" t="s">
        <v>17</v>
      </c>
      <c r="H36" s="1" t="s">
        <v>36</v>
      </c>
      <c r="I36" s="4" t="e">
        <f>J36+#REF!+#REF!+#REF!</f>
        <v>#REF!</v>
      </c>
      <c r="J36" s="4">
        <f>AVERAGE(500,700,725,650,750,500,800,1000,1500,1200)</f>
        <v>832.5</v>
      </c>
      <c r="K36" s="1" t="s">
        <v>19</v>
      </c>
      <c r="L36" s="1"/>
    </row>
    <row r="37" spans="1:12" ht="15.75" customHeight="1" x14ac:dyDescent="0.15">
      <c r="A37" s="1" t="s">
        <v>63</v>
      </c>
      <c r="B37" s="1" t="s">
        <v>21</v>
      </c>
      <c r="C37" s="1">
        <v>4</v>
      </c>
      <c r="D37" s="1">
        <f t="shared" si="0"/>
        <v>4</v>
      </c>
      <c r="E37" s="3">
        <v>12.04</v>
      </c>
      <c r="F37" s="1">
        <v>4</v>
      </c>
      <c r="G37" s="1" t="s">
        <v>12</v>
      </c>
      <c r="H37" s="1" t="s">
        <v>13</v>
      </c>
      <c r="I37" s="4" t="e">
        <f>J37+#REF!+#REF!+#REF!</f>
        <v>#REF!</v>
      </c>
      <c r="J37" s="4">
        <f>AVERAGE(1500,800,325,800,2500,700,800,700,500)</f>
        <v>958.33333333333337</v>
      </c>
      <c r="K37" s="1" t="s">
        <v>19</v>
      </c>
      <c r="L37" s="1"/>
    </row>
    <row r="38" spans="1:12" ht="15.75" customHeight="1" x14ac:dyDescent="0.15">
      <c r="A38" s="1" t="s">
        <v>64</v>
      </c>
      <c r="B38" s="1" t="s">
        <v>32</v>
      </c>
      <c r="C38" s="1">
        <v>69</v>
      </c>
      <c r="D38" s="1">
        <f t="shared" si="0"/>
        <v>55</v>
      </c>
      <c r="E38" s="3">
        <v>12.44</v>
      </c>
      <c r="F38" s="1">
        <v>1</v>
      </c>
      <c r="G38" s="1" t="s">
        <v>12</v>
      </c>
      <c r="H38" s="1" t="s">
        <v>18</v>
      </c>
      <c r="I38" s="4" t="e">
        <f>J38+#REF!+#REF!+#REF!</f>
        <v>#REF!</v>
      </c>
      <c r="J38" s="4">
        <f>AVERAGE(1400,1400,1000,1400,1400,800,795,975,1200,1250)</f>
        <v>1162</v>
      </c>
      <c r="K38" s="1" t="s">
        <v>19</v>
      </c>
      <c r="L38" s="1"/>
    </row>
    <row r="39" spans="1:12" ht="15.75" customHeight="1" x14ac:dyDescent="0.15">
      <c r="A39" s="1" t="s">
        <v>65</v>
      </c>
      <c r="B39" s="1" t="s">
        <v>39</v>
      </c>
      <c r="C39" s="1">
        <v>3</v>
      </c>
      <c r="D39" s="1">
        <f t="shared" si="0"/>
        <v>3</v>
      </c>
      <c r="E39" s="3">
        <v>12.3</v>
      </c>
      <c r="F39" s="1">
        <v>1</v>
      </c>
      <c r="G39" s="1" t="s">
        <v>17</v>
      </c>
      <c r="H39" s="1" t="s">
        <v>57</v>
      </c>
      <c r="I39" s="4" t="e">
        <f>J39+#REF!+#REF!+#REF!</f>
        <v>#REF!</v>
      </c>
      <c r="J39" s="4">
        <f>AVERAGE(250,350,100,275,250,250,175,300,325,600)</f>
        <v>287.5</v>
      </c>
      <c r="K39" s="1" t="s">
        <v>14</v>
      </c>
      <c r="L39" s="1"/>
    </row>
    <row r="40" spans="1:12" ht="15.75" customHeight="1" x14ac:dyDescent="0.15">
      <c r="A40" s="1" t="s">
        <v>66</v>
      </c>
      <c r="B40" s="1" t="s">
        <v>21</v>
      </c>
      <c r="C40" s="1">
        <v>46</v>
      </c>
      <c r="D40" s="1">
        <f t="shared" si="0"/>
        <v>40</v>
      </c>
      <c r="E40" s="3">
        <v>9.48</v>
      </c>
      <c r="F40" s="1">
        <v>1</v>
      </c>
      <c r="G40" s="1" t="s">
        <v>50</v>
      </c>
      <c r="H40" s="1" t="s">
        <v>18</v>
      </c>
      <c r="I40" s="4" t="e">
        <f>J40+#REF!+#REF!+#REF!</f>
        <v>#REF!</v>
      </c>
      <c r="J40" s="4">
        <f>AVERAGE(550,795,175,650,350,600,350,550,500,700)</f>
        <v>522</v>
      </c>
      <c r="K40" s="1" t="s">
        <v>14</v>
      </c>
      <c r="L40" s="1"/>
    </row>
    <row r="41" spans="1:12" ht="15.75" customHeight="1" x14ac:dyDescent="0.15">
      <c r="A41" s="1" t="s">
        <v>67</v>
      </c>
      <c r="B41" s="1" t="s">
        <v>35</v>
      </c>
      <c r="C41" s="1">
        <v>86</v>
      </c>
      <c r="D41" s="1">
        <f t="shared" si="0"/>
        <v>64</v>
      </c>
      <c r="E41" s="3">
        <v>12.31</v>
      </c>
      <c r="F41" s="1">
        <v>0</v>
      </c>
      <c r="G41" s="1" t="s">
        <v>17</v>
      </c>
      <c r="H41" s="1" t="s">
        <v>36</v>
      </c>
      <c r="I41" s="4" t="e">
        <f>J41+#REF!+#REF!+#REF!</f>
        <v>#REF!</v>
      </c>
      <c r="J41" s="4">
        <f>AVERAGE(1500,1200,1500,1000,1600,1000,1200,1200,450,750)</f>
        <v>1140</v>
      </c>
      <c r="K41" s="1" t="s">
        <v>19</v>
      </c>
      <c r="L41" s="1"/>
    </row>
    <row r="42" spans="1:12" ht="15.75" customHeight="1" x14ac:dyDescent="0.15">
      <c r="A42" s="1" t="s">
        <v>68</v>
      </c>
      <c r="B42" s="1" t="s">
        <v>21</v>
      </c>
      <c r="C42" s="1">
        <v>94</v>
      </c>
      <c r="D42" s="1">
        <f t="shared" si="0"/>
        <v>69</v>
      </c>
      <c r="E42" s="3">
        <v>11.1</v>
      </c>
      <c r="F42" s="1">
        <v>1</v>
      </c>
      <c r="G42" s="1" t="s">
        <v>50</v>
      </c>
      <c r="H42" s="1" t="s">
        <v>18</v>
      </c>
      <c r="I42" s="4" t="e">
        <f>J42+#REF!+#REF!+#REF!</f>
        <v>#REF!</v>
      </c>
      <c r="J42" s="4">
        <f>AVERAGE(500,1000,600)</f>
        <v>700</v>
      </c>
      <c r="K42" s="1" t="s">
        <v>19</v>
      </c>
      <c r="L42" s="1"/>
    </row>
    <row r="43" spans="1:12" ht="15.75" customHeight="1" x14ac:dyDescent="0.15">
      <c r="A43" s="1" t="s">
        <v>69</v>
      </c>
      <c r="B43" s="1" t="s">
        <v>21</v>
      </c>
      <c r="C43" s="1">
        <v>87</v>
      </c>
      <c r="D43" s="1">
        <f t="shared" si="0"/>
        <v>65</v>
      </c>
      <c r="E43" s="3">
        <v>11.57</v>
      </c>
      <c r="F43" s="1">
        <v>2</v>
      </c>
      <c r="G43" s="1" t="s">
        <v>50</v>
      </c>
      <c r="H43" s="1" t="s">
        <v>18</v>
      </c>
      <c r="I43" s="4" t="e">
        <f>J43+#REF!+#REF!+#REF!</f>
        <v>#REF!</v>
      </c>
      <c r="J43" s="4">
        <f>AVERAGE(400,750,750,250,750,400,1000,750,600,500)</f>
        <v>615</v>
      </c>
      <c r="K43" s="1" t="s">
        <v>14</v>
      </c>
      <c r="L43" s="1"/>
    </row>
    <row r="44" spans="1:12" ht="15.75" customHeight="1" x14ac:dyDescent="0.15">
      <c r="A44" s="11" t="s">
        <v>70</v>
      </c>
      <c r="B44" s="11" t="s">
        <v>28</v>
      </c>
      <c r="C44" s="11">
        <v>26</v>
      </c>
      <c r="D44" s="1">
        <f t="shared" si="0"/>
        <v>26</v>
      </c>
      <c r="E44" s="14">
        <v>11</v>
      </c>
      <c r="F44" s="11">
        <v>1</v>
      </c>
      <c r="G44" s="11" t="s">
        <v>12</v>
      </c>
      <c r="H44" s="11" t="s">
        <v>36</v>
      </c>
      <c r="I44" s="12" t="e">
        <f>J44+#REF!+#REF!+#REF!</f>
        <v>#REF!</v>
      </c>
      <c r="J44" s="12">
        <f>AVERAGE(600,400,495,250,300,300,550,500,600,699)</f>
        <v>469.4</v>
      </c>
      <c r="K44" s="11" t="s">
        <v>14</v>
      </c>
      <c r="L44" s="11"/>
    </row>
    <row r="45" spans="1:12" ht="15.75" customHeight="1" x14ac:dyDescent="0.15">
      <c r="A45" s="1" t="s">
        <v>71</v>
      </c>
      <c r="B45" s="1" t="s">
        <v>11</v>
      </c>
      <c r="C45" s="1">
        <v>125</v>
      </c>
      <c r="D45" s="1">
        <f t="shared" si="0"/>
        <v>79</v>
      </c>
      <c r="E45" s="3">
        <v>11.17</v>
      </c>
      <c r="F45" s="1">
        <v>1</v>
      </c>
      <c r="G45" s="1" t="s">
        <v>50</v>
      </c>
      <c r="H45" s="1" t="s">
        <v>18</v>
      </c>
      <c r="I45" s="4" t="e">
        <f>J45+#REF!+#REF!+#REF!</f>
        <v>#REF!</v>
      </c>
      <c r="J45" s="4">
        <f>AVERAGE(800,500)</f>
        <v>650</v>
      </c>
      <c r="K45" s="1" t="s">
        <v>14</v>
      </c>
      <c r="L45" s="1"/>
    </row>
    <row r="46" spans="1:12" ht="15.75" customHeight="1" x14ac:dyDescent="0.15">
      <c r="A46" s="1" t="s">
        <v>72</v>
      </c>
      <c r="B46" s="1" t="s">
        <v>16</v>
      </c>
      <c r="C46" s="1">
        <v>120</v>
      </c>
      <c r="D46" s="1">
        <f t="shared" si="0"/>
        <v>76</v>
      </c>
      <c r="E46" s="3">
        <v>13.07</v>
      </c>
      <c r="F46" s="1">
        <v>0</v>
      </c>
      <c r="G46" s="1" t="s">
        <v>17</v>
      </c>
      <c r="H46" s="1" t="s">
        <v>36</v>
      </c>
      <c r="I46" s="4" t="e">
        <f>J46+#REF!+#REF!+#REF!</f>
        <v>#REF!</v>
      </c>
      <c r="J46" s="4">
        <f>AVERAGE(2500,2250,2500,2500,2500,2500,2000,1750,250)</f>
        <v>2083.3333333333335</v>
      </c>
      <c r="K46" s="1" t="s">
        <v>73</v>
      </c>
      <c r="L46" s="1"/>
    </row>
    <row r="47" spans="1:12" ht="13" x14ac:dyDescent="0.15">
      <c r="A47" s="1" t="s">
        <v>74</v>
      </c>
      <c r="B47" s="1" t="s">
        <v>21</v>
      </c>
      <c r="C47" s="1">
        <v>90</v>
      </c>
      <c r="D47" s="1">
        <f t="shared" si="0"/>
        <v>67</v>
      </c>
      <c r="E47" s="3">
        <v>9.02</v>
      </c>
      <c r="F47" s="1">
        <v>0</v>
      </c>
      <c r="G47" s="1" t="s">
        <v>12</v>
      </c>
      <c r="H47" s="1" t="s">
        <v>22</v>
      </c>
      <c r="I47" s="4" t="e">
        <f>J47+#REF!+#REF!+#REF!</f>
        <v>#REF!</v>
      </c>
      <c r="J47" s="4">
        <f>AVERAGE(1200,300,300)</f>
        <v>600</v>
      </c>
      <c r="K47" s="1" t="s">
        <v>14</v>
      </c>
      <c r="L47" s="1"/>
    </row>
    <row r="48" spans="1:12" ht="13" x14ac:dyDescent="0.15">
      <c r="A48" s="1" t="s">
        <v>75</v>
      </c>
      <c r="B48" s="1" t="s">
        <v>35</v>
      </c>
      <c r="C48" s="1">
        <v>22</v>
      </c>
      <c r="D48" s="1">
        <f t="shared" si="0"/>
        <v>22</v>
      </c>
      <c r="E48" s="3">
        <v>10.92</v>
      </c>
      <c r="F48" s="1">
        <v>1</v>
      </c>
      <c r="G48" s="1" t="s">
        <v>12</v>
      </c>
      <c r="H48" s="1" t="s">
        <v>33</v>
      </c>
      <c r="I48" s="4" t="e">
        <f>J48+#REF!+#REF!+#REF!</f>
        <v>#REF!</v>
      </c>
      <c r="J48" s="4">
        <f>AVERAGE(450,600,950,550,700,450,1050,750,400,1000)</f>
        <v>690</v>
      </c>
      <c r="K48" s="1" t="s">
        <v>14</v>
      </c>
      <c r="L48" s="1"/>
    </row>
    <row r="49" spans="1:12" ht="13" x14ac:dyDescent="0.15">
      <c r="A49" s="1" t="s">
        <v>76</v>
      </c>
      <c r="B49" s="1" t="s">
        <v>32</v>
      </c>
      <c r="C49" s="1">
        <v>13</v>
      </c>
      <c r="D49" s="1">
        <f t="shared" si="0"/>
        <v>13</v>
      </c>
      <c r="E49" s="3">
        <v>10.33</v>
      </c>
      <c r="F49" s="1">
        <v>4</v>
      </c>
      <c r="G49" s="1" t="s">
        <v>50</v>
      </c>
      <c r="H49" s="1" t="s">
        <v>13</v>
      </c>
      <c r="I49" s="4" t="e">
        <f>J49+#REF!+#REF!+#REF!</f>
        <v>#REF!</v>
      </c>
      <c r="J49" s="4">
        <f>AVERAGE(1000,495,800,1000,900,600,1200,800,300,800)</f>
        <v>789.5</v>
      </c>
      <c r="K49" s="1" t="s">
        <v>19</v>
      </c>
      <c r="L49" s="1"/>
    </row>
    <row r="50" spans="1:12" ht="13" x14ac:dyDescent="0.15">
      <c r="A50" s="11" t="s">
        <v>77</v>
      </c>
      <c r="B50" s="11" t="s">
        <v>28</v>
      </c>
      <c r="C50" s="11">
        <v>129</v>
      </c>
      <c r="D50" s="1">
        <f t="shared" si="0"/>
        <v>80</v>
      </c>
      <c r="E50" s="14">
        <v>10.1</v>
      </c>
      <c r="F50" s="11">
        <v>0</v>
      </c>
      <c r="G50" s="11" t="s">
        <v>17</v>
      </c>
      <c r="H50" s="11" t="s">
        <v>33</v>
      </c>
      <c r="I50" s="12" t="e">
        <f>J50+#REF!+#REF!+#REF!</f>
        <v>#REF!</v>
      </c>
      <c r="J50" s="12">
        <f>AVERAGE(600,1000,550,1000,1000,1250,150,1200,1000,1500)</f>
        <v>925</v>
      </c>
      <c r="K50" s="11" t="s">
        <v>19</v>
      </c>
      <c r="L50" s="11"/>
    </row>
    <row r="51" spans="1:12" ht="13" x14ac:dyDescent="0.15">
      <c r="A51" s="1" t="s">
        <v>78</v>
      </c>
      <c r="B51" s="1" t="s">
        <v>11</v>
      </c>
      <c r="C51" s="1">
        <v>108</v>
      </c>
      <c r="D51" s="1">
        <f t="shared" si="0"/>
        <v>72</v>
      </c>
      <c r="E51" s="3">
        <v>10.6</v>
      </c>
      <c r="F51" s="1">
        <v>2</v>
      </c>
      <c r="G51" s="1" t="s">
        <v>50</v>
      </c>
      <c r="H51" s="1" t="s">
        <v>22</v>
      </c>
      <c r="I51" s="4" t="e">
        <f>J51+#REF!+#REF!+#REF!</f>
        <v>#REF!</v>
      </c>
      <c r="J51" s="4">
        <f>AVERAGE(1200,1200,900,900,1200,1200,850,1200,850,1200)</f>
        <v>1070</v>
      </c>
      <c r="K51" s="1" t="s">
        <v>19</v>
      </c>
      <c r="L51" s="1"/>
    </row>
    <row r="52" spans="1:12" ht="13" x14ac:dyDescent="0.15">
      <c r="A52" s="1" t="s">
        <v>79</v>
      </c>
      <c r="B52" s="1" t="s">
        <v>28</v>
      </c>
      <c r="C52" s="1">
        <v>21</v>
      </c>
      <c r="D52" s="1">
        <f t="shared" si="0"/>
        <v>21</v>
      </c>
      <c r="E52" s="3">
        <v>11.29</v>
      </c>
      <c r="F52" s="1">
        <v>2</v>
      </c>
      <c r="G52" s="1" t="s">
        <v>17</v>
      </c>
      <c r="H52" s="1" t="s">
        <v>33</v>
      </c>
      <c r="I52" s="4" t="e">
        <f>J52+#REF!+#REF!+#REF!</f>
        <v>#REF!</v>
      </c>
      <c r="J52" s="4">
        <f>AVERAGE(1300,300,100,1500,800,1500,1800,899,950)</f>
        <v>1016.5555555555555</v>
      </c>
      <c r="K52" s="1" t="s">
        <v>19</v>
      </c>
      <c r="L52" s="1"/>
    </row>
    <row r="53" spans="1:12" ht="13" x14ac:dyDescent="0.15">
      <c r="A53" s="1" t="s">
        <v>80</v>
      </c>
      <c r="B53" s="1" t="s">
        <v>35</v>
      </c>
      <c r="C53" s="1">
        <v>73</v>
      </c>
      <c r="D53" s="1">
        <f t="shared" si="0"/>
        <v>57</v>
      </c>
      <c r="E53" s="3">
        <v>11.27</v>
      </c>
      <c r="F53" s="1">
        <v>2</v>
      </c>
      <c r="G53" s="1" t="s">
        <v>12</v>
      </c>
      <c r="H53" s="1" t="s">
        <v>18</v>
      </c>
      <c r="I53" s="4" t="e">
        <f>J53+#REF!+#REF!+#REF!</f>
        <v>#REF!</v>
      </c>
      <c r="J53" s="4">
        <f>AVERAGE(500,900,800,350,700,800,600,700,1000,600)</f>
        <v>695</v>
      </c>
      <c r="K53" s="1" t="s">
        <v>14</v>
      </c>
      <c r="L53" s="1"/>
    </row>
    <row r="54" spans="1:12" ht="13" x14ac:dyDescent="0.15">
      <c r="A54" s="1" t="s">
        <v>81</v>
      </c>
      <c r="B54" s="1" t="s">
        <v>39</v>
      </c>
      <c r="C54" s="1">
        <v>41</v>
      </c>
      <c r="D54" s="1">
        <f t="shared" si="0"/>
        <v>36</v>
      </c>
      <c r="E54" s="3">
        <v>11.43</v>
      </c>
      <c r="F54" s="1">
        <v>2</v>
      </c>
      <c r="G54" s="1" t="s">
        <v>17</v>
      </c>
      <c r="H54" s="1" t="s">
        <v>57</v>
      </c>
      <c r="I54" s="4" t="e">
        <f>J54+#REF!+#REF!+#REF!</f>
        <v>#REF!</v>
      </c>
      <c r="J54" s="4">
        <f>AVERAGE(600,300,400,750,1000,150,395,500,500,300)</f>
        <v>489.5</v>
      </c>
      <c r="K54" s="1" t="s">
        <v>14</v>
      </c>
      <c r="L54" s="1"/>
    </row>
    <row r="55" spans="1:12" ht="13" x14ac:dyDescent="0.15">
      <c r="A55" s="1" t="s">
        <v>82</v>
      </c>
      <c r="B55" s="1" t="s">
        <v>39</v>
      </c>
      <c r="C55" s="1">
        <v>93</v>
      </c>
      <c r="D55" s="1">
        <f t="shared" si="0"/>
        <v>68</v>
      </c>
      <c r="E55" s="3">
        <v>13.58</v>
      </c>
      <c r="F55" s="1">
        <v>3</v>
      </c>
      <c r="G55" s="1" t="s">
        <v>12</v>
      </c>
      <c r="H55" s="1" t="s">
        <v>57</v>
      </c>
      <c r="I55" s="4" t="e">
        <f>J55+#REF!+#REF!+#REF!</f>
        <v>#REF!</v>
      </c>
      <c r="J55" s="4">
        <f>AVERAGE(1200,800,1200,1200,600,1000,650,1200,800,750)</f>
        <v>940</v>
      </c>
      <c r="K55" s="1" t="s">
        <v>19</v>
      </c>
      <c r="L55" s="1"/>
    </row>
    <row r="56" spans="1:12" ht="13" x14ac:dyDescent="0.15">
      <c r="A56" s="1" t="s">
        <v>83</v>
      </c>
      <c r="B56" s="1" t="s">
        <v>28</v>
      </c>
      <c r="C56" s="1">
        <v>65</v>
      </c>
      <c r="D56" s="1">
        <f t="shared" si="0"/>
        <v>53</v>
      </c>
      <c r="E56" s="3">
        <v>10.02</v>
      </c>
      <c r="F56" s="1">
        <v>0</v>
      </c>
      <c r="G56" s="1" t="s">
        <v>17</v>
      </c>
      <c r="H56" s="1" t="s">
        <v>36</v>
      </c>
      <c r="I56" s="4" t="e">
        <f>J56+#REF!+#REF!+#REF!</f>
        <v>#REF!</v>
      </c>
      <c r="J56" s="4">
        <f>AVERAGE(850,750,650,850,950,1200,700,750,800,500)</f>
        <v>800</v>
      </c>
      <c r="K56" s="1" t="s">
        <v>19</v>
      </c>
      <c r="L56" s="1"/>
    </row>
    <row r="57" spans="1:12" ht="13" x14ac:dyDescent="0.15">
      <c r="A57" s="1" t="s">
        <v>84</v>
      </c>
      <c r="B57" s="1" t="s">
        <v>16</v>
      </c>
      <c r="C57" s="1">
        <v>76</v>
      </c>
      <c r="D57" s="1">
        <f t="shared" si="0"/>
        <v>58</v>
      </c>
      <c r="E57" s="3">
        <v>12.05</v>
      </c>
      <c r="F57" s="1">
        <v>1</v>
      </c>
      <c r="G57" s="1" t="s">
        <v>12</v>
      </c>
      <c r="H57" s="1" t="s">
        <v>33</v>
      </c>
      <c r="I57" s="4" t="e">
        <f>J57+#REF!+#REF!+#REF!</f>
        <v>#REF!</v>
      </c>
      <c r="J57" s="4">
        <f>AVERAGE(500,900,1500,1500,1000,1500,1200,1050,799,1500)</f>
        <v>1144.9000000000001</v>
      </c>
      <c r="K57" s="1" t="s">
        <v>19</v>
      </c>
      <c r="L57" s="1"/>
    </row>
    <row r="58" spans="1:12" ht="13" x14ac:dyDescent="0.15">
      <c r="A58" s="1" t="s">
        <v>85</v>
      </c>
      <c r="B58" s="1" t="s">
        <v>11</v>
      </c>
      <c r="C58" s="1">
        <v>83</v>
      </c>
      <c r="D58" s="1">
        <f t="shared" si="0"/>
        <v>62</v>
      </c>
      <c r="E58" s="3">
        <v>10.34</v>
      </c>
      <c r="F58" s="1">
        <v>1</v>
      </c>
      <c r="G58" s="1" t="s">
        <v>50</v>
      </c>
      <c r="H58" s="1" t="s">
        <v>18</v>
      </c>
      <c r="I58" s="4" t="e">
        <f>J58+#REF!+#REF!+#REF!</f>
        <v>#REF!</v>
      </c>
      <c r="J58" s="4">
        <f>AVERAGE(1300,800,1200,800,800,900,2500,1800,2050,1200)</f>
        <v>1335</v>
      </c>
      <c r="K58" s="1" t="s">
        <v>19</v>
      </c>
      <c r="L58" s="1"/>
    </row>
    <row r="59" spans="1:12" ht="13" x14ac:dyDescent="0.15">
      <c r="A59" s="11" t="s">
        <v>86</v>
      </c>
      <c r="B59" s="11" t="s">
        <v>11</v>
      </c>
      <c r="C59" s="11">
        <v>25</v>
      </c>
      <c r="D59" s="1">
        <f t="shared" si="0"/>
        <v>25</v>
      </c>
      <c r="E59" s="14">
        <v>12.25</v>
      </c>
      <c r="F59" s="11">
        <v>9</v>
      </c>
      <c r="G59" s="11" t="s">
        <v>17</v>
      </c>
      <c r="H59" s="11" t="s">
        <v>22</v>
      </c>
      <c r="I59" s="12" t="e">
        <f>J59+#REF!+#REF!+#REF!</f>
        <v>#REF!</v>
      </c>
      <c r="J59" s="12">
        <f>AVERAGE(540,650,500,750,650,375,500,550,600,750)</f>
        <v>586.5</v>
      </c>
      <c r="K59" s="11" t="s">
        <v>14</v>
      </c>
      <c r="L59" s="11"/>
    </row>
    <row r="60" spans="1:12" ht="13" x14ac:dyDescent="0.15">
      <c r="A60" s="1" t="s">
        <v>87</v>
      </c>
      <c r="B60" s="1" t="s">
        <v>21</v>
      </c>
      <c r="C60" s="1">
        <v>133</v>
      </c>
      <c r="D60" s="1">
        <f t="shared" si="0"/>
        <v>82</v>
      </c>
      <c r="E60" s="3">
        <v>10</v>
      </c>
      <c r="F60" s="1">
        <v>0</v>
      </c>
      <c r="G60" s="1" t="s">
        <v>12</v>
      </c>
      <c r="H60" s="1" t="s">
        <v>18</v>
      </c>
      <c r="I60" s="4" t="e">
        <f>J60+#REF!+#REF!+#REF!</f>
        <v>#REF!</v>
      </c>
      <c r="J60" s="4">
        <f>AVERAGE(800,800,800,800,800,1500,800,1500,1500)</f>
        <v>1033.3333333333333</v>
      </c>
      <c r="K60" s="1" t="s">
        <v>19</v>
      </c>
      <c r="L60" s="1"/>
    </row>
    <row r="61" spans="1:12" ht="13" x14ac:dyDescent="0.15">
      <c r="A61" s="1" t="s">
        <v>88</v>
      </c>
      <c r="B61" s="1" t="s">
        <v>16</v>
      </c>
      <c r="C61" s="1">
        <v>160</v>
      </c>
      <c r="D61" s="1">
        <f t="shared" si="0"/>
        <v>87</v>
      </c>
      <c r="E61" s="3">
        <v>12.17</v>
      </c>
      <c r="F61" s="1">
        <v>0</v>
      </c>
      <c r="G61" s="1" t="s">
        <v>17</v>
      </c>
      <c r="H61" s="1" t="s">
        <v>36</v>
      </c>
      <c r="I61" s="4" t="e">
        <f>J61+#REF!+#REF!+#REF!</f>
        <v>#REF!</v>
      </c>
      <c r="J61" s="4">
        <f>AVERAGE(1000,850)</f>
        <v>925</v>
      </c>
      <c r="K61" s="1" t="s">
        <v>19</v>
      </c>
      <c r="L61" s="1"/>
    </row>
    <row r="62" spans="1:12" ht="13" x14ac:dyDescent="0.15">
      <c r="A62" s="1" t="s">
        <v>89</v>
      </c>
      <c r="B62" s="1" t="s">
        <v>39</v>
      </c>
      <c r="C62" s="1">
        <v>117</v>
      </c>
      <c r="D62" s="1">
        <f t="shared" si="0"/>
        <v>75</v>
      </c>
      <c r="E62" s="3">
        <v>12</v>
      </c>
      <c r="F62" s="1">
        <v>0</v>
      </c>
      <c r="G62" s="1" t="s">
        <v>12</v>
      </c>
      <c r="H62" s="1" t="s">
        <v>33</v>
      </c>
      <c r="I62" s="4" t="e">
        <f>J62+#REF!+#REF!+#REF!</f>
        <v>#REF!</v>
      </c>
      <c r="J62" s="4">
        <f>AVERAGE(1000,1500,1800,1800)</f>
        <v>1525</v>
      </c>
      <c r="K62" s="1" t="s">
        <v>73</v>
      </c>
      <c r="L62" s="1"/>
    </row>
    <row r="63" spans="1:12" ht="13" x14ac:dyDescent="0.15">
      <c r="A63" s="11" t="s">
        <v>90</v>
      </c>
      <c r="B63" s="11" t="s">
        <v>32</v>
      </c>
      <c r="C63" s="11">
        <v>95</v>
      </c>
      <c r="D63" s="1">
        <f t="shared" si="0"/>
        <v>70</v>
      </c>
      <c r="E63" s="14">
        <v>10</v>
      </c>
      <c r="F63" s="11">
        <v>1</v>
      </c>
      <c r="G63" s="11" t="s">
        <v>50</v>
      </c>
      <c r="H63" s="11" t="s">
        <v>18</v>
      </c>
      <c r="I63" s="12" t="e">
        <f>J63+#REF!+#REF!+#REF!</f>
        <v>#REF!</v>
      </c>
      <c r="J63" s="12">
        <f>AVERAGE(1200,400,500,800,850,1500,450,1000,600,800)</f>
        <v>810</v>
      </c>
      <c r="K63" s="11" t="s">
        <v>19</v>
      </c>
      <c r="L63" s="11"/>
    </row>
    <row r="64" spans="1:12" ht="13" x14ac:dyDescent="0.15">
      <c r="A64" s="1" t="s">
        <v>91</v>
      </c>
      <c r="B64" s="1" t="s">
        <v>39</v>
      </c>
      <c r="C64" s="1">
        <v>140</v>
      </c>
      <c r="D64" s="1">
        <f t="shared" si="0"/>
        <v>85</v>
      </c>
      <c r="E64" s="3">
        <v>9.36</v>
      </c>
      <c r="F64" s="1">
        <v>1</v>
      </c>
      <c r="G64" s="1" t="s">
        <v>50</v>
      </c>
      <c r="H64" s="1" t="s">
        <v>33</v>
      </c>
      <c r="I64" s="4" t="e">
        <f>J64+#REF!+#REF!+#REF!</f>
        <v>#REF!</v>
      </c>
      <c r="J64" s="4">
        <f>AVERAGE(350,750,2000,200,750,2500,1200,750,2500,750)</f>
        <v>1175</v>
      </c>
      <c r="K64" s="1" t="s">
        <v>19</v>
      </c>
      <c r="L64" s="1"/>
    </row>
    <row r="65" spans="1:12" ht="13" x14ac:dyDescent="0.15">
      <c r="A65" s="1" t="s">
        <v>92</v>
      </c>
      <c r="B65" s="1" t="s">
        <v>16</v>
      </c>
      <c r="C65" s="1">
        <v>54</v>
      </c>
      <c r="D65" s="1">
        <f t="shared" si="0"/>
        <v>45</v>
      </c>
      <c r="E65" s="3">
        <v>10.69</v>
      </c>
      <c r="F65" s="1">
        <v>1</v>
      </c>
      <c r="G65" s="1" t="s">
        <v>17</v>
      </c>
      <c r="H65" s="1" t="s">
        <v>36</v>
      </c>
      <c r="I65" s="4" t="e">
        <f>J65+#REF!+#REF!+#REF!</f>
        <v>#REF!</v>
      </c>
      <c r="J65" s="4">
        <f>AVERAGE(500,600,800,400,800,2200,800,400,990,800)</f>
        <v>829</v>
      </c>
      <c r="K65" s="1" t="s">
        <v>19</v>
      </c>
      <c r="L65" s="1"/>
    </row>
    <row r="66" spans="1:12" ht="13" x14ac:dyDescent="0.15">
      <c r="A66" s="1" t="s">
        <v>93</v>
      </c>
      <c r="B66" s="1" t="s">
        <v>32</v>
      </c>
      <c r="C66" s="1">
        <v>10</v>
      </c>
      <c r="D66" s="1">
        <f t="shared" si="0"/>
        <v>10</v>
      </c>
      <c r="E66" s="3">
        <v>9.11</v>
      </c>
      <c r="F66" s="1">
        <v>3</v>
      </c>
      <c r="G66" s="1" t="s">
        <v>50</v>
      </c>
      <c r="H66" s="1" t="s">
        <v>13</v>
      </c>
      <c r="I66" s="4" t="e">
        <f>J66+#REF!+#REF!+#REF!</f>
        <v>#REF!</v>
      </c>
      <c r="J66" s="4">
        <f>AVERAGE(1500,1800,500,1600,700,725,1800,300,1600,650)</f>
        <v>1117.5</v>
      </c>
      <c r="K66" s="1" t="s">
        <v>19</v>
      </c>
      <c r="L66" s="1"/>
    </row>
    <row r="67" spans="1:12" ht="13" x14ac:dyDescent="0.15">
      <c r="A67" s="1" t="s">
        <v>94</v>
      </c>
      <c r="B67" s="1" t="s">
        <v>16</v>
      </c>
      <c r="C67" s="1">
        <v>124</v>
      </c>
      <c r="D67" s="1">
        <f t="shared" si="0"/>
        <v>78</v>
      </c>
      <c r="E67" s="3">
        <v>9.4</v>
      </c>
      <c r="F67" s="1">
        <v>1</v>
      </c>
      <c r="G67" s="1" t="s">
        <v>12</v>
      </c>
      <c r="H67" s="1" t="s">
        <v>18</v>
      </c>
      <c r="I67" s="4" t="e">
        <f>J67+#REF!+#REF!+#REF!</f>
        <v>#REF!</v>
      </c>
      <c r="J67" s="4">
        <f>AVERAGE(900,1500)</f>
        <v>1200</v>
      </c>
      <c r="K67" s="1" t="s">
        <v>19</v>
      </c>
      <c r="L67" s="1"/>
    </row>
    <row r="68" spans="1:12" ht="13" x14ac:dyDescent="0.15">
      <c r="A68" s="1" t="s">
        <v>95</v>
      </c>
      <c r="B68" s="1" t="s">
        <v>39</v>
      </c>
      <c r="C68" s="1">
        <v>88</v>
      </c>
      <c r="D68" s="1">
        <f t="shared" si="0"/>
        <v>66</v>
      </c>
      <c r="E68" s="3">
        <v>11.92</v>
      </c>
      <c r="F68" s="1">
        <v>0</v>
      </c>
      <c r="G68" s="1" t="s">
        <v>50</v>
      </c>
      <c r="H68" s="1" t="s">
        <v>57</v>
      </c>
      <c r="I68" s="4" t="e">
        <f>J68+#REF!+#REF!+#REF!</f>
        <v>#REF!</v>
      </c>
      <c r="J68" s="4">
        <f>AVERAGE(1000,450,800,1000,1200,1000,1000,1000,1000,450)</f>
        <v>890</v>
      </c>
      <c r="K68" s="1" t="s">
        <v>19</v>
      </c>
      <c r="L68" s="1"/>
    </row>
    <row r="69" spans="1:12" ht="13" x14ac:dyDescent="0.15">
      <c r="A69" s="1" t="s">
        <v>96</v>
      </c>
      <c r="B69" s="1" t="s">
        <v>32</v>
      </c>
      <c r="C69" s="1">
        <v>43</v>
      </c>
      <c r="D69" s="1">
        <f t="shared" si="0"/>
        <v>37</v>
      </c>
      <c r="E69" s="3">
        <v>9.32</v>
      </c>
      <c r="F69" s="1">
        <v>2</v>
      </c>
      <c r="G69" s="1" t="s">
        <v>50</v>
      </c>
      <c r="H69" s="1" t="s">
        <v>18</v>
      </c>
      <c r="I69" s="4" t="e">
        <f>J69+#REF!+#REF!+#REF!</f>
        <v>#REF!</v>
      </c>
      <c r="J69" s="4">
        <f>AVERAGE(550,1200,2000,1300,950,800,2000,975,500,1500)</f>
        <v>1177.5</v>
      </c>
      <c r="K69" s="1" t="s">
        <v>19</v>
      </c>
      <c r="L69" s="1"/>
    </row>
    <row r="70" spans="1:12" ht="13" x14ac:dyDescent="0.15">
      <c r="A70" s="1" t="s">
        <v>97</v>
      </c>
      <c r="B70" s="1" t="s">
        <v>11</v>
      </c>
      <c r="C70" s="1">
        <v>2</v>
      </c>
      <c r="D70" s="1">
        <f t="shared" si="0"/>
        <v>2</v>
      </c>
      <c r="E70" s="3">
        <v>9.73</v>
      </c>
      <c r="F70" s="1">
        <v>8</v>
      </c>
      <c r="G70" s="1" t="s">
        <v>50</v>
      </c>
      <c r="H70" s="1" t="s">
        <v>13</v>
      </c>
      <c r="I70" s="4" t="e">
        <f>J70+#REF!+#REF!+#REF!</f>
        <v>#REF!</v>
      </c>
      <c r="J70" s="4">
        <f>AVERAGE(400,1495,600,800,600,600,1000,700,800,1200)</f>
        <v>819.5</v>
      </c>
      <c r="K70" s="1" t="s">
        <v>19</v>
      </c>
      <c r="L70" s="1"/>
    </row>
    <row r="71" spans="1:12" ht="13" x14ac:dyDescent="0.15">
      <c r="A71" s="1" t="s">
        <v>98</v>
      </c>
      <c r="B71" s="1" t="s">
        <v>28</v>
      </c>
      <c r="C71" s="1">
        <v>64</v>
      </c>
      <c r="D71" s="1">
        <f t="shared" si="0"/>
        <v>52</v>
      </c>
      <c r="E71" s="3">
        <v>11.56</v>
      </c>
      <c r="F71" s="1">
        <v>1</v>
      </c>
      <c r="G71" s="1" t="s">
        <v>17</v>
      </c>
      <c r="H71" s="1" t="s">
        <v>57</v>
      </c>
      <c r="I71" s="4" t="e">
        <f>J71+#REF!+#REF!+#REF!</f>
        <v>#REF!</v>
      </c>
      <c r="J71" s="4">
        <f>AVERAGE(3800,200,1050,450,1000,600,350,450,500,450)</f>
        <v>885</v>
      </c>
      <c r="K71" s="1" t="s">
        <v>19</v>
      </c>
      <c r="L71" s="1"/>
    </row>
    <row r="72" spans="1:12" ht="13" x14ac:dyDescent="0.15">
      <c r="A72" s="1" t="s">
        <v>99</v>
      </c>
      <c r="B72" s="1" t="s">
        <v>11</v>
      </c>
      <c r="C72" s="1">
        <v>84</v>
      </c>
      <c r="D72" s="1">
        <f t="shared" si="0"/>
        <v>63</v>
      </c>
      <c r="E72" s="3">
        <v>11.19</v>
      </c>
      <c r="F72" s="1">
        <v>1</v>
      </c>
      <c r="G72" s="1" t="s">
        <v>12</v>
      </c>
      <c r="H72" s="1" t="s">
        <v>36</v>
      </c>
      <c r="I72" s="4" t="e">
        <f>J72+#REF!+#REF!+#REF!</f>
        <v>#REF!</v>
      </c>
      <c r="J72" s="4">
        <f>AVERAGE(900,1000,900,1000,640,650,1000,750,975,500)</f>
        <v>831.5</v>
      </c>
      <c r="K72" s="1" t="s">
        <v>19</v>
      </c>
      <c r="L72" s="1"/>
    </row>
    <row r="73" spans="1:12" ht="13" x14ac:dyDescent="0.15">
      <c r="A73" s="1" t="s">
        <v>100</v>
      </c>
      <c r="B73" s="1" t="s">
        <v>32</v>
      </c>
      <c r="C73" s="1">
        <v>47</v>
      </c>
      <c r="D73" s="1">
        <f t="shared" si="0"/>
        <v>41</v>
      </c>
      <c r="E73" s="3">
        <v>10.16</v>
      </c>
      <c r="F73" s="1">
        <v>1</v>
      </c>
      <c r="G73" s="1" t="s">
        <v>50</v>
      </c>
      <c r="H73" s="1" t="s">
        <v>33</v>
      </c>
      <c r="I73" s="4" t="e">
        <f>J73+#REF!+#REF!+#REF!</f>
        <v>#REF!</v>
      </c>
      <c r="J73" s="4">
        <f>AVERAGE(750,1400,1350,1500,565,850,1000,1800,1000,1800)</f>
        <v>1201.5</v>
      </c>
      <c r="K73" s="1" t="s">
        <v>19</v>
      </c>
      <c r="L73" s="1"/>
    </row>
    <row r="74" spans="1:12" ht="13" x14ac:dyDescent="0.15">
      <c r="A74" s="1" t="s">
        <v>101</v>
      </c>
      <c r="B74" s="1" t="s">
        <v>39</v>
      </c>
      <c r="C74" s="1">
        <v>44</v>
      </c>
      <c r="D74" s="1">
        <f t="shared" si="0"/>
        <v>38</v>
      </c>
      <c r="E74" s="3">
        <v>9.1</v>
      </c>
      <c r="F74" s="1">
        <v>2</v>
      </c>
      <c r="G74" s="1" t="s">
        <v>50</v>
      </c>
      <c r="H74" s="1" t="s">
        <v>33</v>
      </c>
      <c r="I74" s="4" t="e">
        <f>J74+#REF!+#REF!+#REF!</f>
        <v>#REF!</v>
      </c>
      <c r="J74" s="4">
        <f>AVERAGE(750,950,950,850,900,950,1300,900,1200,1200)</f>
        <v>995</v>
      </c>
      <c r="K74" s="1" t="s">
        <v>19</v>
      </c>
      <c r="L74" s="1"/>
    </row>
    <row r="75" spans="1:12" ht="13" x14ac:dyDescent="0.15">
      <c r="A75" s="1" t="s">
        <v>102</v>
      </c>
      <c r="B75" s="1" t="s">
        <v>35</v>
      </c>
      <c r="C75" s="1">
        <v>18</v>
      </c>
      <c r="D75" s="1">
        <f t="shared" si="0"/>
        <v>18</v>
      </c>
      <c r="E75" s="3">
        <v>9</v>
      </c>
      <c r="F75" s="1">
        <v>0</v>
      </c>
      <c r="G75" s="1" t="s">
        <v>12</v>
      </c>
      <c r="H75" s="1" t="s">
        <v>36</v>
      </c>
      <c r="I75" s="4" t="e">
        <f>J75+#REF!+#REF!+#REF!</f>
        <v>#REF!</v>
      </c>
      <c r="J75" s="4">
        <f>AVERAGE(1350,1800,1800,1600,2500,1800,3500,1350,1300,2000)</f>
        <v>1900</v>
      </c>
      <c r="K75" s="1" t="s">
        <v>73</v>
      </c>
      <c r="L75" s="1"/>
    </row>
    <row r="76" spans="1:12" ht="13" x14ac:dyDescent="0.15">
      <c r="A76" s="1" t="s">
        <v>103</v>
      </c>
      <c r="B76" s="1" t="s">
        <v>39</v>
      </c>
      <c r="C76" s="1">
        <v>102</v>
      </c>
      <c r="D76" s="1">
        <f t="shared" si="0"/>
        <v>71</v>
      </c>
      <c r="E76" s="3">
        <v>9.08</v>
      </c>
      <c r="F76" s="1">
        <v>0</v>
      </c>
      <c r="G76" s="1" t="s">
        <v>50</v>
      </c>
      <c r="H76" s="1" t="s">
        <v>57</v>
      </c>
      <c r="I76" s="4" t="e">
        <f>J76+#REF!+#REF!+#REF!</f>
        <v>#REF!</v>
      </c>
      <c r="J76" s="4">
        <f>AVERAGE(400,700,1250,750,300,400,500,400,1250,800)</f>
        <v>675</v>
      </c>
      <c r="K76" s="1" t="s">
        <v>14</v>
      </c>
      <c r="L76" s="1"/>
    </row>
    <row r="77" spans="1:12" ht="13" x14ac:dyDescent="0.15">
      <c r="A77" s="1" t="s">
        <v>104</v>
      </c>
      <c r="B77" s="1" t="s">
        <v>32</v>
      </c>
      <c r="C77" s="1">
        <v>34</v>
      </c>
      <c r="D77" s="1">
        <f t="shared" si="0"/>
        <v>31</v>
      </c>
      <c r="E77" s="3">
        <v>7.56</v>
      </c>
      <c r="F77" s="1">
        <v>4</v>
      </c>
      <c r="G77" s="1" t="s">
        <v>50</v>
      </c>
      <c r="H77" s="1" t="s">
        <v>22</v>
      </c>
      <c r="I77" s="4" t="e">
        <f>J77+#REF!+#REF!+#REF!</f>
        <v>#REF!</v>
      </c>
      <c r="J77" s="4">
        <f>AVERAGE(1600,1200,1200,800,750,1000,2500,1750,1200,1200)</f>
        <v>1320</v>
      </c>
      <c r="K77" s="1" t="s">
        <v>19</v>
      </c>
      <c r="L77" s="1"/>
    </row>
    <row r="78" spans="1:12" ht="13" x14ac:dyDescent="0.15">
      <c r="A78" s="1" t="s">
        <v>105</v>
      </c>
      <c r="B78" s="1" t="s">
        <v>16</v>
      </c>
      <c r="C78" s="1">
        <v>51</v>
      </c>
      <c r="D78" s="1">
        <f t="shared" si="0"/>
        <v>44</v>
      </c>
      <c r="E78" s="3">
        <v>10.210000000000001</v>
      </c>
      <c r="F78" s="1">
        <v>2</v>
      </c>
      <c r="G78" s="1" t="s">
        <v>12</v>
      </c>
      <c r="H78" s="1" t="s">
        <v>36</v>
      </c>
      <c r="I78" s="4" t="e">
        <f>J78+#REF!+#REF!+#REF!</f>
        <v>#REF!</v>
      </c>
      <c r="J78" s="4">
        <f>AVERAGE(600,1500,1500,300,1750,1600,500,1300,600,1200)</f>
        <v>1085</v>
      </c>
      <c r="K78" s="1" t="s">
        <v>19</v>
      </c>
      <c r="L78" s="1"/>
    </row>
    <row r="79" spans="1:12" ht="13" x14ac:dyDescent="0.15">
      <c r="A79" s="1" t="s">
        <v>106</v>
      </c>
      <c r="B79" s="1" t="s">
        <v>32</v>
      </c>
      <c r="C79" s="1">
        <v>7</v>
      </c>
      <c r="D79" s="1">
        <f t="shared" si="0"/>
        <v>7</v>
      </c>
      <c r="E79" s="3">
        <v>8.81</v>
      </c>
      <c r="F79" s="1">
        <v>4</v>
      </c>
      <c r="G79" s="1" t="s">
        <v>12</v>
      </c>
      <c r="H79" s="1" t="s">
        <v>33</v>
      </c>
      <c r="I79" s="4" t="e">
        <f>J79+#REF!+#REF!+#REF!</f>
        <v>#REF!</v>
      </c>
      <c r="J79" s="4">
        <f>AVERAGE(500,550,700,500,650,2500,600,350,300,350)</f>
        <v>700</v>
      </c>
      <c r="K79" s="1" t="s">
        <v>19</v>
      </c>
      <c r="L79" s="1"/>
    </row>
    <row r="80" spans="1:12" ht="13" x14ac:dyDescent="0.15">
      <c r="A80" s="1" t="s">
        <v>107</v>
      </c>
      <c r="B80" s="1" t="s">
        <v>32</v>
      </c>
      <c r="C80" s="1">
        <v>58</v>
      </c>
      <c r="D80" s="1">
        <f t="shared" si="0"/>
        <v>47</v>
      </c>
      <c r="E80" s="3">
        <v>10.67</v>
      </c>
      <c r="F80" s="1">
        <v>2</v>
      </c>
      <c r="G80" s="1" t="s">
        <v>50</v>
      </c>
      <c r="H80" s="1" t="s">
        <v>33</v>
      </c>
      <c r="I80" s="4" t="e">
        <f>J80+#REF!+#REF!+#REF!</f>
        <v>#REF!</v>
      </c>
      <c r="J80" s="4">
        <f>AVERAGE(900,550,800,695,800,1800,1000,1550,1650,2350)</f>
        <v>1209.5</v>
      </c>
      <c r="K80" s="1" t="s">
        <v>19</v>
      </c>
      <c r="L80" s="1"/>
    </row>
    <row r="81" spans="1:12" ht="13" x14ac:dyDescent="0.15">
      <c r="A81" s="1" t="s">
        <v>108</v>
      </c>
      <c r="B81" s="1" t="s">
        <v>35</v>
      </c>
      <c r="C81" s="1">
        <v>68</v>
      </c>
      <c r="D81" s="1">
        <f t="shared" si="0"/>
        <v>54</v>
      </c>
      <c r="E81" s="3">
        <v>9.01</v>
      </c>
      <c r="F81" s="1">
        <v>2</v>
      </c>
      <c r="G81" s="1" t="s">
        <v>12</v>
      </c>
      <c r="H81" s="1" t="s">
        <v>57</v>
      </c>
      <c r="I81" s="4" t="e">
        <f>J81+#REF!+#REF!+#REF!</f>
        <v>#REF!</v>
      </c>
      <c r="J81" s="4">
        <f>AVERAGE(200,700,750,550,600,500,550,400,400,500)</f>
        <v>515</v>
      </c>
      <c r="K81" s="1" t="s">
        <v>14</v>
      </c>
      <c r="L81" s="1"/>
    </row>
    <row r="82" spans="1:12" ht="13" x14ac:dyDescent="0.15">
      <c r="A82" s="1" t="s">
        <v>109</v>
      </c>
      <c r="B82" s="1" t="s">
        <v>39</v>
      </c>
      <c r="C82" s="1">
        <v>48</v>
      </c>
      <c r="D82" s="1">
        <f t="shared" si="0"/>
        <v>42</v>
      </c>
      <c r="E82" s="3">
        <v>6.75</v>
      </c>
      <c r="F82" s="1">
        <v>2</v>
      </c>
      <c r="G82" s="1" t="s">
        <v>50</v>
      </c>
      <c r="H82" s="1" t="s">
        <v>57</v>
      </c>
      <c r="I82" s="4" t="e">
        <f>J82+#REF!+#REF!+#REF!</f>
        <v>#REF!</v>
      </c>
      <c r="J82" s="4">
        <f>AVERAGE(400,500,400,800,200,400,750,1000,625,1000)</f>
        <v>607.5</v>
      </c>
      <c r="K82" s="1" t="s">
        <v>14</v>
      </c>
      <c r="L82" s="1"/>
    </row>
    <row r="83" spans="1:12" ht="13" x14ac:dyDescent="0.15">
      <c r="A83" s="1" t="s">
        <v>110</v>
      </c>
      <c r="B83" s="1" t="s">
        <v>39</v>
      </c>
      <c r="C83" s="1">
        <v>79</v>
      </c>
      <c r="D83" s="1">
        <f t="shared" si="0"/>
        <v>60</v>
      </c>
      <c r="E83" s="3">
        <v>6.94</v>
      </c>
      <c r="F83" s="1">
        <v>3</v>
      </c>
      <c r="G83" s="1" t="s">
        <v>50</v>
      </c>
      <c r="H83" s="1" t="s">
        <v>33</v>
      </c>
      <c r="I83" s="4" t="e">
        <f>J83+#REF!+#REF!+#REF!</f>
        <v>#REF!</v>
      </c>
      <c r="J83" s="4">
        <f>AVERAGE(1550,1550,1200,1550,1200,1100,1550,800,1500)</f>
        <v>1333.3333333333333</v>
      </c>
      <c r="K83" s="1" t="s">
        <v>19</v>
      </c>
      <c r="L83" s="1"/>
    </row>
    <row r="84" spans="1:12" ht="13" x14ac:dyDescent="0.15">
      <c r="A84" s="1" t="s">
        <v>111</v>
      </c>
      <c r="B84" s="1" t="s">
        <v>32</v>
      </c>
      <c r="C84" s="1">
        <v>40</v>
      </c>
      <c r="D84" s="1">
        <f t="shared" si="0"/>
        <v>35</v>
      </c>
      <c r="E84" s="3">
        <v>7.57</v>
      </c>
      <c r="F84" s="1">
        <v>2</v>
      </c>
      <c r="G84" s="1" t="s">
        <v>50</v>
      </c>
      <c r="H84" s="1" t="s">
        <v>36</v>
      </c>
      <c r="I84" s="4" t="e">
        <f>J84+#REF!+#REF!+#REF!</f>
        <v>#REF!</v>
      </c>
      <c r="J84" s="4">
        <f>AVERAGE(600,750,850,1200,600,1000,1200,1000,1000,1600)</f>
        <v>980</v>
      </c>
      <c r="K84" s="1" t="s">
        <v>19</v>
      </c>
      <c r="L84" s="1"/>
    </row>
    <row r="85" spans="1:12" ht="13" x14ac:dyDescent="0.15">
      <c r="A85" s="11" t="s">
        <v>112</v>
      </c>
      <c r="B85" s="11" t="s">
        <v>32</v>
      </c>
      <c r="C85" s="11">
        <v>28</v>
      </c>
      <c r="D85" s="1">
        <f t="shared" si="0"/>
        <v>28</v>
      </c>
      <c r="E85" s="14">
        <v>6.5</v>
      </c>
      <c r="F85" s="11">
        <v>2</v>
      </c>
      <c r="G85" s="11" t="s">
        <v>50</v>
      </c>
      <c r="H85" s="11" t="s">
        <v>57</v>
      </c>
      <c r="I85" s="12" t="e">
        <f>J85+#REF!+#REF!+#REF!</f>
        <v>#REF!</v>
      </c>
      <c r="J85" s="12">
        <f>AVERAGE(1000,1000,1000,1000,1200,500,1200,850,1100,150)</f>
        <v>900</v>
      </c>
      <c r="K85" s="11" t="s">
        <v>19</v>
      </c>
      <c r="L85" s="11"/>
    </row>
    <row r="86" spans="1:12" ht="13" x14ac:dyDescent="0.15">
      <c r="A86" s="1" t="s">
        <v>113</v>
      </c>
      <c r="B86" s="1" t="s">
        <v>32</v>
      </c>
      <c r="C86" s="1">
        <v>19</v>
      </c>
      <c r="D86" s="1">
        <f t="shared" si="0"/>
        <v>19</v>
      </c>
      <c r="E86" s="3">
        <v>6.96</v>
      </c>
      <c r="F86" s="1">
        <v>4</v>
      </c>
      <c r="G86" s="1" t="s">
        <v>50</v>
      </c>
      <c r="H86" s="1" t="s">
        <v>33</v>
      </c>
      <c r="I86" s="4" t="e">
        <f>J86+#REF!+#REF!+#REF!</f>
        <v>#REF!</v>
      </c>
      <c r="J86" s="4">
        <f>AVERAGE(500,2500,1000,1250,800,1250,650,950,700,800)</f>
        <v>1040</v>
      </c>
      <c r="K86" s="1" t="s">
        <v>19</v>
      </c>
      <c r="L86" s="1"/>
    </row>
    <row r="87" spans="1:12" ht="13" x14ac:dyDescent="0.15">
      <c r="A87" s="1" t="s">
        <v>114</v>
      </c>
      <c r="B87" s="1" t="s">
        <v>32</v>
      </c>
      <c r="C87" s="1">
        <v>49</v>
      </c>
      <c r="D87" s="1">
        <f t="shared" si="0"/>
        <v>43</v>
      </c>
      <c r="E87" s="3">
        <v>7.78</v>
      </c>
      <c r="F87" s="1">
        <v>3</v>
      </c>
      <c r="G87" s="1" t="s">
        <v>50</v>
      </c>
      <c r="H87" s="1" t="s">
        <v>36</v>
      </c>
      <c r="I87" s="4" t="e">
        <f>J87+#REF!+#REF!+#REF!</f>
        <v>#REF!</v>
      </c>
      <c r="J87" s="4">
        <f>AVERAGE(1500,850,450,450,1200,1200,500,900,500,1200)</f>
        <v>875</v>
      </c>
      <c r="K87" s="1" t="s">
        <v>19</v>
      </c>
      <c r="L87" s="1"/>
    </row>
    <row r="88" spans="1:12" ht="13" x14ac:dyDescent="0.15">
      <c r="A88" s="1" t="s">
        <v>115</v>
      </c>
      <c r="B88" s="1" t="s">
        <v>35</v>
      </c>
      <c r="C88" s="1">
        <v>6</v>
      </c>
      <c r="D88" s="1">
        <f t="shared" si="0"/>
        <v>6</v>
      </c>
      <c r="E88" s="3">
        <v>6.29</v>
      </c>
      <c r="F88" s="1">
        <v>5</v>
      </c>
      <c r="G88" s="1" t="s">
        <v>12</v>
      </c>
      <c r="H88" s="1" t="s">
        <v>57</v>
      </c>
      <c r="I88" s="4" t="e">
        <f>J88+#REF!+#REF!+#REF!</f>
        <v>#REF!</v>
      </c>
      <c r="J88" s="4">
        <f>AVERAGE(1800,2500,1900,5500,2000,2500,1800,5500,1800,1500)</f>
        <v>2680</v>
      </c>
      <c r="K88" s="1" t="s">
        <v>73</v>
      </c>
      <c r="L88" s="1"/>
    </row>
    <row r="89" spans="1:12" ht="13" x14ac:dyDescent="0.15">
      <c r="A89" s="1" t="s">
        <v>116</v>
      </c>
      <c r="B89" s="1" t="s">
        <v>16</v>
      </c>
      <c r="C89" s="1">
        <v>55</v>
      </c>
      <c r="D89" s="1"/>
      <c r="E89" s="3">
        <v>11.45</v>
      </c>
      <c r="F89" s="1">
        <v>1</v>
      </c>
      <c r="G89" s="1" t="s">
        <v>12</v>
      </c>
      <c r="H89" s="1" t="s">
        <v>18</v>
      </c>
      <c r="I89" s="4" t="s">
        <v>9</v>
      </c>
      <c r="J89" s="4">
        <f>AVERAGE(550,800,750,1200,650,500,500,475,700,1200)</f>
        <v>732.5</v>
      </c>
      <c r="K89" s="1" t="s">
        <v>19</v>
      </c>
      <c r="L89" s="1"/>
    </row>
    <row r="90" spans="1:12" ht="13" x14ac:dyDescent="0.15">
      <c r="A90" s="1" t="s">
        <v>117</v>
      </c>
      <c r="B90" s="1" t="s">
        <v>39</v>
      </c>
      <c r="C90" s="1">
        <v>33</v>
      </c>
      <c r="D90" s="1"/>
      <c r="E90" s="1">
        <v>11.5</v>
      </c>
      <c r="F90" s="1" t="s">
        <v>9</v>
      </c>
      <c r="G90" s="1" t="s">
        <v>50</v>
      </c>
      <c r="H90" s="1" t="s">
        <v>9</v>
      </c>
      <c r="I90" s="4" t="s">
        <v>9</v>
      </c>
      <c r="J90" s="4">
        <f>AVERAGE(300,100,350,300,350,300)</f>
        <v>283.33333333333331</v>
      </c>
      <c r="K90" s="1" t="s">
        <v>14</v>
      </c>
      <c r="L90" s="1"/>
    </row>
    <row r="91" spans="1:12" ht="13" x14ac:dyDescent="0.15">
      <c r="A91" s="1" t="s">
        <v>118</v>
      </c>
      <c r="B91" s="1" t="s">
        <v>35</v>
      </c>
      <c r="C91" s="1">
        <v>116</v>
      </c>
      <c r="D91" s="1"/>
      <c r="E91" s="3" t="s">
        <v>9</v>
      </c>
      <c r="F91" s="1">
        <v>0</v>
      </c>
      <c r="G91" s="1" t="s">
        <v>17</v>
      </c>
      <c r="H91" s="1" t="s">
        <v>9</v>
      </c>
      <c r="I91" s="4" t="s">
        <v>9</v>
      </c>
      <c r="J91" s="4">
        <f>AVERAGE(400,300,350,350,500,600,800,800,550,950)</f>
        <v>560</v>
      </c>
      <c r="K91" s="1" t="s">
        <v>14</v>
      </c>
      <c r="L91" s="1"/>
    </row>
    <row r="92" spans="1:12" ht="13" x14ac:dyDescent="0.15">
      <c r="A92" s="1" t="s">
        <v>119</v>
      </c>
      <c r="B92" s="1" t="s">
        <v>39</v>
      </c>
      <c r="C92" s="1">
        <v>173</v>
      </c>
      <c r="D92" s="1"/>
      <c r="E92" s="3" t="s">
        <v>9</v>
      </c>
      <c r="F92" s="1" t="s">
        <v>9</v>
      </c>
      <c r="G92" s="1" t="s">
        <v>12</v>
      </c>
      <c r="H92" s="1" t="s">
        <v>33</v>
      </c>
      <c r="I92" s="4" t="s">
        <v>9</v>
      </c>
      <c r="J92" s="4">
        <f>AVERAGE(1000,1000,850,850,250,600,750)</f>
        <v>757.14285714285711</v>
      </c>
      <c r="K92" s="1" t="s">
        <v>19</v>
      </c>
      <c r="L92" s="1"/>
    </row>
    <row r="93" spans="1:12" ht="13" x14ac:dyDescent="0.15">
      <c r="A93" s="1" t="s">
        <v>120</v>
      </c>
      <c r="B93" s="1" t="s">
        <v>16</v>
      </c>
      <c r="C93" s="1">
        <v>72</v>
      </c>
      <c r="D93" s="1"/>
      <c r="E93" s="3" t="s">
        <v>9</v>
      </c>
      <c r="F93" s="1">
        <v>1</v>
      </c>
      <c r="G93" s="1" t="s">
        <v>12</v>
      </c>
      <c r="H93" s="1" t="s">
        <v>18</v>
      </c>
      <c r="I93" s="4" t="s">
        <v>9</v>
      </c>
      <c r="J93" s="4">
        <f>AVERAGE(1000,600,1500,1000,1500,250,1500,1000,1500,580)</f>
        <v>1043</v>
      </c>
      <c r="K93" s="1" t="s">
        <v>19</v>
      </c>
      <c r="L93" s="1"/>
    </row>
    <row r="94" spans="1:12" ht="13" x14ac:dyDescent="0.15">
      <c r="A94" s="1" t="s">
        <v>121</v>
      </c>
      <c r="B94" s="1" t="s">
        <v>21</v>
      </c>
      <c r="C94" s="1">
        <v>157</v>
      </c>
      <c r="D94" s="1"/>
      <c r="E94" s="3" t="s">
        <v>9</v>
      </c>
      <c r="F94" s="1">
        <v>0</v>
      </c>
      <c r="G94" s="1" t="s">
        <v>12</v>
      </c>
      <c r="H94" s="1" t="s">
        <v>33</v>
      </c>
      <c r="I94" s="4" t="s">
        <v>9</v>
      </c>
      <c r="J94" s="4">
        <f>AVERAGE(1250,600,600,600,600)</f>
        <v>730</v>
      </c>
      <c r="K94" s="1" t="s">
        <v>19</v>
      </c>
      <c r="L94" s="1"/>
    </row>
    <row r="95" spans="1:12" ht="13" x14ac:dyDescent="0.15">
      <c r="A95" s="1" t="s">
        <v>122</v>
      </c>
      <c r="B95" s="1" t="s">
        <v>32</v>
      </c>
      <c r="C95" s="1">
        <v>111</v>
      </c>
      <c r="D95" s="1"/>
      <c r="E95" s="3">
        <v>10.75</v>
      </c>
      <c r="F95" s="1" t="s">
        <v>9</v>
      </c>
      <c r="G95" s="1" t="s">
        <v>50</v>
      </c>
      <c r="H95" s="1" t="s">
        <v>9</v>
      </c>
      <c r="I95" s="4" t="s">
        <v>9</v>
      </c>
      <c r="J95" s="4" t="s">
        <v>9</v>
      </c>
      <c r="K95" s="4" t="s">
        <v>9</v>
      </c>
      <c r="L95" s="1"/>
    </row>
    <row r="96" spans="1:12" ht="13" x14ac:dyDescent="0.15">
      <c r="A96" s="1" t="s">
        <v>123</v>
      </c>
      <c r="B96" s="1" t="s">
        <v>11</v>
      </c>
      <c r="C96" s="1">
        <v>112</v>
      </c>
      <c r="D96" s="1"/>
      <c r="E96" s="3">
        <v>12.77</v>
      </c>
      <c r="F96" s="1">
        <v>0</v>
      </c>
      <c r="G96" s="1" t="s">
        <v>12</v>
      </c>
      <c r="H96" s="1" t="s">
        <v>18</v>
      </c>
      <c r="I96" s="4" t="s">
        <v>9</v>
      </c>
      <c r="J96" s="4" t="s">
        <v>9</v>
      </c>
      <c r="K96" s="4" t="s">
        <v>9</v>
      </c>
      <c r="L96" s="1"/>
    </row>
    <row r="97" spans="1:12" ht="13" x14ac:dyDescent="0.15">
      <c r="A97" s="1" t="s">
        <v>124</v>
      </c>
      <c r="B97" s="1" t="s">
        <v>11</v>
      </c>
      <c r="C97" s="1">
        <v>144</v>
      </c>
      <c r="D97" s="1"/>
      <c r="E97" s="3" t="s">
        <v>9</v>
      </c>
      <c r="F97" s="1" t="s">
        <v>9</v>
      </c>
      <c r="G97" s="1" t="s">
        <v>50</v>
      </c>
      <c r="H97" s="1" t="s">
        <v>9</v>
      </c>
      <c r="I97" s="4" t="s">
        <v>9</v>
      </c>
      <c r="J97" s="4">
        <f>AVERAGE(950,1000,950)</f>
        <v>966.66666666666663</v>
      </c>
      <c r="K97" s="1" t="s">
        <v>19</v>
      </c>
      <c r="L97" s="1"/>
    </row>
    <row r="98" spans="1:12" ht="13" x14ac:dyDescent="0.15">
      <c r="A98" s="1" t="s">
        <v>125</v>
      </c>
      <c r="B98" s="1" t="s">
        <v>11</v>
      </c>
      <c r="C98" s="1">
        <v>74</v>
      </c>
      <c r="D98" s="1"/>
      <c r="E98" s="3" t="s">
        <v>9</v>
      </c>
      <c r="F98" s="1">
        <v>0</v>
      </c>
      <c r="G98" s="1" t="s">
        <v>50</v>
      </c>
      <c r="H98" s="1" t="s">
        <v>22</v>
      </c>
      <c r="I98" s="4" t="s">
        <v>9</v>
      </c>
      <c r="J98" s="4">
        <f>AVERAGE(1200,1000,1200,1200,1200,800,550,950,700,2000)</f>
        <v>1080</v>
      </c>
      <c r="K98" s="1" t="s">
        <v>19</v>
      </c>
      <c r="L98" s="1"/>
    </row>
    <row r="99" spans="1:12" ht="13" x14ac:dyDescent="0.15">
      <c r="A99" s="1" t="s">
        <v>126</v>
      </c>
      <c r="B99" s="1" t="s">
        <v>11</v>
      </c>
      <c r="C99" s="1">
        <v>118</v>
      </c>
      <c r="D99" s="1"/>
      <c r="E99" s="3" t="s">
        <v>9</v>
      </c>
      <c r="F99" s="1">
        <v>4</v>
      </c>
      <c r="G99" s="1" t="s">
        <v>50</v>
      </c>
      <c r="H99" s="1" t="s">
        <v>22</v>
      </c>
      <c r="I99" s="4" t="s">
        <v>9</v>
      </c>
      <c r="J99" s="4" t="s">
        <v>9</v>
      </c>
      <c r="K99" s="4" t="s">
        <v>9</v>
      </c>
      <c r="L99" s="1"/>
    </row>
    <row r="100" spans="1:12" ht="13" x14ac:dyDescent="0.15">
      <c r="A100" s="1" t="s">
        <v>127</v>
      </c>
      <c r="B100" s="1" t="s">
        <v>39</v>
      </c>
      <c r="C100" s="1">
        <v>109</v>
      </c>
      <c r="D100" s="1"/>
      <c r="E100" s="3" t="s">
        <v>9</v>
      </c>
      <c r="F100" s="1">
        <v>0</v>
      </c>
      <c r="G100" s="1" t="s">
        <v>50</v>
      </c>
      <c r="H100" s="1" t="s">
        <v>33</v>
      </c>
      <c r="I100" s="4" t="s">
        <v>9</v>
      </c>
      <c r="J100" s="4">
        <f>AVERAGE(450,250,250,300,250,350,200,500,250,450)</f>
        <v>325</v>
      </c>
      <c r="K100" s="1" t="s">
        <v>14</v>
      </c>
      <c r="L100" s="1"/>
    </row>
    <row r="101" spans="1:12" ht="13" x14ac:dyDescent="0.15">
      <c r="A101" s="1" t="s">
        <v>128</v>
      </c>
      <c r="B101" s="1" t="s">
        <v>32</v>
      </c>
      <c r="C101" s="1">
        <v>128</v>
      </c>
      <c r="D101" s="1"/>
      <c r="E101" s="3" t="s">
        <v>129</v>
      </c>
      <c r="F101" s="1">
        <v>0</v>
      </c>
      <c r="G101" s="1" t="s">
        <v>50</v>
      </c>
      <c r="H101" s="1" t="s">
        <v>9</v>
      </c>
      <c r="I101" s="4" t="s">
        <v>9</v>
      </c>
      <c r="J101" s="4">
        <f>AVERAGE(2500,3000,3000)</f>
        <v>2833.3333333333335</v>
      </c>
      <c r="K101" s="1" t="s">
        <v>73</v>
      </c>
      <c r="L101" s="1"/>
    </row>
    <row r="102" spans="1:12" ht="13" x14ac:dyDescent="0.15">
      <c r="A102" s="1" t="s">
        <v>130</v>
      </c>
      <c r="B102" s="1" t="s">
        <v>39</v>
      </c>
      <c r="C102" s="1">
        <v>136</v>
      </c>
      <c r="D102" s="1"/>
      <c r="E102" s="3" t="s">
        <v>9</v>
      </c>
      <c r="F102" s="1">
        <v>0</v>
      </c>
      <c r="G102" s="1" t="s">
        <v>50</v>
      </c>
      <c r="H102" s="1" t="s">
        <v>9</v>
      </c>
      <c r="I102" s="4" t="s">
        <v>9</v>
      </c>
      <c r="J102" s="4">
        <f>AVERAGE(350,300,500,200,300,500,400,250,500,400)</f>
        <v>370</v>
      </c>
      <c r="K102" s="1" t="s">
        <v>14</v>
      </c>
      <c r="L102" s="1"/>
    </row>
    <row r="103" spans="1:12" ht="13" x14ac:dyDescent="0.15">
      <c r="A103" s="1" t="s">
        <v>131</v>
      </c>
      <c r="B103" s="1" t="s">
        <v>21</v>
      </c>
      <c r="C103" s="1">
        <v>138</v>
      </c>
      <c r="D103" s="1"/>
      <c r="E103" s="3" t="s">
        <v>9</v>
      </c>
      <c r="F103" s="1" t="s">
        <v>9</v>
      </c>
      <c r="G103" s="1" t="s">
        <v>12</v>
      </c>
      <c r="H103" s="1" t="s">
        <v>9</v>
      </c>
      <c r="I103" s="4" t="s">
        <v>9</v>
      </c>
      <c r="J103" s="4">
        <f>AVERAGE(500,200,800,600,500,650,500,500)</f>
        <v>531.25</v>
      </c>
      <c r="K103" s="1" t="s">
        <v>14</v>
      </c>
      <c r="L103" s="1"/>
    </row>
    <row r="104" spans="1:12" ht="13" x14ac:dyDescent="0.15">
      <c r="A104" s="1" t="s">
        <v>132</v>
      </c>
      <c r="B104" s="1" t="s">
        <v>11</v>
      </c>
      <c r="C104" s="1">
        <v>168</v>
      </c>
      <c r="D104" s="1"/>
      <c r="E104" s="3">
        <v>14.67</v>
      </c>
      <c r="F104" s="1">
        <v>0</v>
      </c>
      <c r="G104" s="1" t="s">
        <v>12</v>
      </c>
      <c r="H104" s="1" t="s">
        <v>9</v>
      </c>
      <c r="I104" s="4" t="s">
        <v>9</v>
      </c>
      <c r="J104" s="4" t="s">
        <v>9</v>
      </c>
      <c r="K104" s="4" t="s">
        <v>9</v>
      </c>
      <c r="L104" s="1"/>
    </row>
    <row r="105" spans="1:12" ht="13" x14ac:dyDescent="0.15">
      <c r="A105" s="1" t="s">
        <v>133</v>
      </c>
      <c r="B105" s="1" t="s">
        <v>32</v>
      </c>
      <c r="C105" s="1">
        <v>67</v>
      </c>
      <c r="D105" s="1"/>
      <c r="E105" s="1" t="s">
        <v>9</v>
      </c>
      <c r="F105" s="1" t="s">
        <v>9</v>
      </c>
      <c r="G105" s="1" t="s">
        <v>50</v>
      </c>
      <c r="H105" s="1" t="s">
        <v>9</v>
      </c>
      <c r="I105" s="4" t="s">
        <v>9</v>
      </c>
      <c r="J105" s="4">
        <f>AVERAGE(1300,1000,500,1500,1000,1000,1500,1000,900,1000)</f>
        <v>1070</v>
      </c>
      <c r="K105" s="1" t="s">
        <v>19</v>
      </c>
      <c r="L105" s="1"/>
    </row>
    <row r="106" spans="1:12" ht="13" x14ac:dyDescent="0.15">
      <c r="A106" s="1" t="s">
        <v>134</v>
      </c>
      <c r="B106" s="1" t="s">
        <v>11</v>
      </c>
      <c r="C106" s="1">
        <v>81</v>
      </c>
      <c r="D106" s="1"/>
      <c r="E106" s="3">
        <v>12.7</v>
      </c>
      <c r="F106" s="1">
        <v>0</v>
      </c>
      <c r="G106" s="1" t="s">
        <v>17</v>
      </c>
      <c r="H106" s="1" t="s">
        <v>22</v>
      </c>
      <c r="I106" s="4" t="s">
        <v>9</v>
      </c>
      <c r="J106" s="4">
        <f>AVERAGE(1085,395,900,700,800,1000,950,850,800,800)</f>
        <v>828</v>
      </c>
      <c r="K106" s="1" t="s">
        <v>19</v>
      </c>
      <c r="L106" s="1"/>
    </row>
    <row r="107" spans="1:12" ht="13" x14ac:dyDescent="0.15">
      <c r="A107" s="1" t="s">
        <v>135</v>
      </c>
      <c r="B107" s="1" t="s">
        <v>16</v>
      </c>
      <c r="C107" s="1">
        <v>106</v>
      </c>
      <c r="D107" s="1"/>
      <c r="E107" s="3">
        <v>8.42</v>
      </c>
      <c r="F107" s="1" t="s">
        <v>9</v>
      </c>
      <c r="G107" s="1" t="s">
        <v>17</v>
      </c>
      <c r="H107" s="1" t="s">
        <v>9</v>
      </c>
      <c r="I107" s="4" t="s">
        <v>9</v>
      </c>
      <c r="J107" s="4" t="s">
        <v>9</v>
      </c>
      <c r="K107" s="4" t="s">
        <v>9</v>
      </c>
      <c r="L107" s="1"/>
    </row>
    <row r="108" spans="1:12" ht="13" x14ac:dyDescent="0.15">
      <c r="A108" s="1" t="s">
        <v>136</v>
      </c>
      <c r="B108" s="1" t="s">
        <v>28</v>
      </c>
      <c r="C108" s="1">
        <v>61</v>
      </c>
      <c r="D108" s="1"/>
      <c r="E108" s="3">
        <v>10.08</v>
      </c>
      <c r="F108" s="1" t="s">
        <v>9</v>
      </c>
      <c r="G108" s="1" t="s">
        <v>17</v>
      </c>
      <c r="H108" s="1" t="s">
        <v>36</v>
      </c>
      <c r="I108" s="4" t="s">
        <v>9</v>
      </c>
      <c r="J108" s="4">
        <f>AVERAGE(500,500,500,1300,400,1000,125,500,200,350)</f>
        <v>537.5</v>
      </c>
      <c r="K108" s="1" t="s">
        <v>14</v>
      </c>
      <c r="L108" s="1"/>
    </row>
    <row r="109" spans="1:12" ht="13" x14ac:dyDescent="0.15">
      <c r="A109" s="1" t="s">
        <v>137</v>
      </c>
      <c r="B109" s="1" t="s">
        <v>35</v>
      </c>
      <c r="C109" s="1">
        <v>50</v>
      </c>
      <c r="D109" s="1"/>
      <c r="E109" s="3" t="s">
        <v>9</v>
      </c>
      <c r="F109" s="1">
        <v>4</v>
      </c>
      <c r="G109" s="1" t="s">
        <v>12</v>
      </c>
      <c r="H109" s="1" t="s">
        <v>33</v>
      </c>
      <c r="I109" s="4" t="s">
        <v>9</v>
      </c>
      <c r="J109" s="4">
        <f>AVERAGE(350,500,400,2000,950,1000,400,1000,800,1000)</f>
        <v>840</v>
      </c>
      <c r="K109" s="1" t="s">
        <v>19</v>
      </c>
      <c r="L109" s="1"/>
    </row>
    <row r="110" spans="1:12" ht="13" x14ac:dyDescent="0.15">
      <c r="A110" s="1" t="s">
        <v>138</v>
      </c>
      <c r="B110" s="1" t="s">
        <v>11</v>
      </c>
      <c r="C110" s="1">
        <v>36</v>
      </c>
      <c r="D110" s="1"/>
      <c r="E110" s="3" t="s">
        <v>9</v>
      </c>
      <c r="F110" s="1">
        <v>2</v>
      </c>
      <c r="G110" s="1" t="s">
        <v>50</v>
      </c>
      <c r="H110" s="1" t="s">
        <v>22</v>
      </c>
      <c r="I110" s="4" t="s">
        <v>9</v>
      </c>
      <c r="J110" s="4">
        <f>AVERAGE(600,500,400,850,600,650,950,350,750,850)</f>
        <v>650</v>
      </c>
      <c r="K110" s="1" t="s">
        <v>14</v>
      </c>
      <c r="L110" s="1"/>
    </row>
    <row r="111" spans="1:12" ht="13" x14ac:dyDescent="0.15">
      <c r="A111" s="1" t="s">
        <v>139</v>
      </c>
      <c r="B111" s="1" t="s">
        <v>21</v>
      </c>
      <c r="C111" s="1">
        <v>154</v>
      </c>
      <c r="D111" s="1"/>
      <c r="E111" s="3">
        <v>10.75</v>
      </c>
      <c r="F111" s="1">
        <v>0</v>
      </c>
      <c r="G111" s="1" t="s">
        <v>50</v>
      </c>
      <c r="H111" s="1" t="s">
        <v>33</v>
      </c>
      <c r="I111" s="4" t="s">
        <v>9</v>
      </c>
      <c r="J111" s="4" t="s">
        <v>9</v>
      </c>
      <c r="K111" s="4" t="s">
        <v>9</v>
      </c>
      <c r="L111" s="1"/>
    </row>
    <row r="112" spans="1:12" ht="13" x14ac:dyDescent="0.15">
      <c r="A112" s="1" t="s">
        <v>140</v>
      </c>
      <c r="B112" s="1" t="s">
        <v>39</v>
      </c>
      <c r="C112" s="1">
        <v>171</v>
      </c>
      <c r="D112" s="1"/>
      <c r="E112" s="3" t="s">
        <v>9</v>
      </c>
      <c r="F112" s="1">
        <v>0</v>
      </c>
      <c r="G112" s="1" t="s">
        <v>50</v>
      </c>
      <c r="H112" s="1" t="s">
        <v>33</v>
      </c>
      <c r="I112" s="4" t="s">
        <v>9</v>
      </c>
      <c r="J112" s="4" t="s">
        <v>9</v>
      </c>
      <c r="K112" s="4" t="s">
        <v>9</v>
      </c>
      <c r="L112" s="1"/>
    </row>
    <row r="113" spans="1:12" ht="13" x14ac:dyDescent="0.15">
      <c r="A113" s="1" t="s">
        <v>141</v>
      </c>
      <c r="B113" s="1" t="s">
        <v>11</v>
      </c>
      <c r="C113" s="1">
        <v>146</v>
      </c>
      <c r="D113" s="1"/>
      <c r="E113" s="3" t="s">
        <v>9</v>
      </c>
      <c r="F113" s="1" t="s">
        <v>9</v>
      </c>
      <c r="G113" s="1" t="s">
        <v>12</v>
      </c>
      <c r="H113" s="1" t="s">
        <v>9</v>
      </c>
      <c r="I113" s="4" t="s">
        <v>9</v>
      </c>
      <c r="J113" s="4">
        <f>AVERAGE(1200,1000,1300)</f>
        <v>1166.6666666666667</v>
      </c>
      <c r="K113" s="1" t="s">
        <v>19</v>
      </c>
      <c r="L113" s="1"/>
    </row>
    <row r="114" spans="1:12" ht="13" x14ac:dyDescent="0.15">
      <c r="A114" s="1" t="s">
        <v>142</v>
      </c>
      <c r="B114" s="1" t="s">
        <v>21</v>
      </c>
      <c r="C114" s="1">
        <v>141</v>
      </c>
      <c r="D114" s="1"/>
      <c r="E114" s="3">
        <v>9.9</v>
      </c>
      <c r="F114" s="1">
        <v>0</v>
      </c>
      <c r="G114" s="1" t="s">
        <v>12</v>
      </c>
      <c r="H114" s="1" t="s">
        <v>18</v>
      </c>
      <c r="I114" s="4" t="s">
        <v>9</v>
      </c>
      <c r="J114" s="4" t="s">
        <v>9</v>
      </c>
      <c r="K114" s="4" t="s">
        <v>9</v>
      </c>
      <c r="L114" s="1"/>
    </row>
    <row r="115" spans="1:12" ht="13" x14ac:dyDescent="0.15">
      <c r="A115" s="1" t="s">
        <v>143</v>
      </c>
      <c r="B115" s="1" t="s">
        <v>11</v>
      </c>
      <c r="C115" s="1">
        <v>104</v>
      </c>
      <c r="D115" s="1"/>
      <c r="E115" s="3">
        <v>7.33</v>
      </c>
      <c r="F115" s="1" t="s">
        <v>9</v>
      </c>
      <c r="G115" s="1" t="s">
        <v>12</v>
      </c>
      <c r="H115" s="1" t="s">
        <v>9</v>
      </c>
      <c r="I115" s="4" t="s">
        <v>9</v>
      </c>
      <c r="J115" s="4" t="s">
        <v>9</v>
      </c>
      <c r="K115" s="4" t="s">
        <v>9</v>
      </c>
      <c r="L115" s="1"/>
    </row>
    <row r="116" spans="1:12" ht="13" x14ac:dyDescent="0.15">
      <c r="A116" s="1" t="s">
        <v>144</v>
      </c>
      <c r="B116" s="1" t="s">
        <v>35</v>
      </c>
      <c r="C116" s="1">
        <v>167</v>
      </c>
      <c r="D116" s="1"/>
      <c r="E116" s="3">
        <v>11.17</v>
      </c>
      <c r="F116" s="1">
        <v>0</v>
      </c>
      <c r="G116" s="1" t="s">
        <v>12</v>
      </c>
      <c r="H116" s="1" t="s">
        <v>33</v>
      </c>
      <c r="I116" s="4" t="s">
        <v>9</v>
      </c>
      <c r="J116" s="4" t="s">
        <v>9</v>
      </c>
      <c r="K116" s="4" t="s">
        <v>9</v>
      </c>
      <c r="L116" s="1"/>
    </row>
    <row r="117" spans="1:12" ht="13" x14ac:dyDescent="0.15">
      <c r="A117" s="1" t="s">
        <v>145</v>
      </c>
      <c r="B117" s="1" t="s">
        <v>32</v>
      </c>
      <c r="C117" s="1">
        <v>137</v>
      </c>
      <c r="D117" s="1"/>
      <c r="E117" s="3">
        <v>11.42</v>
      </c>
      <c r="F117" s="1" t="s">
        <v>9</v>
      </c>
      <c r="G117" s="1" t="s">
        <v>12</v>
      </c>
      <c r="H117" s="1" t="s">
        <v>9</v>
      </c>
      <c r="I117" s="4" t="s">
        <v>9</v>
      </c>
      <c r="J117" s="4">
        <v>1500</v>
      </c>
      <c r="K117" s="1" t="s">
        <v>73</v>
      </c>
      <c r="L117" s="1"/>
    </row>
    <row r="118" spans="1:12" ht="13" x14ac:dyDescent="0.15">
      <c r="A118" s="1" t="s">
        <v>146</v>
      </c>
      <c r="B118" s="1" t="s">
        <v>21</v>
      </c>
      <c r="C118" s="1">
        <v>75</v>
      </c>
      <c r="D118" s="1"/>
      <c r="E118" s="3">
        <v>10</v>
      </c>
      <c r="F118" s="1">
        <v>1</v>
      </c>
      <c r="G118" s="1" t="s">
        <v>50</v>
      </c>
      <c r="H118" s="1" t="s">
        <v>33</v>
      </c>
      <c r="I118" s="4" t="s">
        <v>9</v>
      </c>
      <c r="J118" s="4">
        <f>AVERAGE(600,600,800,600,600,600,650,700,700,700)</f>
        <v>655</v>
      </c>
      <c r="K118" s="1" t="s">
        <v>14</v>
      </c>
      <c r="L118" s="1"/>
    </row>
    <row r="119" spans="1:12" ht="13" x14ac:dyDescent="0.15">
      <c r="A119" s="1" t="s">
        <v>147</v>
      </c>
      <c r="B119" s="1" t="s">
        <v>16</v>
      </c>
      <c r="C119" s="1">
        <v>158</v>
      </c>
      <c r="D119" s="1"/>
      <c r="E119" s="3">
        <v>10.42</v>
      </c>
      <c r="F119" s="1" t="s">
        <v>9</v>
      </c>
      <c r="G119" s="1" t="s">
        <v>17</v>
      </c>
      <c r="H119" s="1" t="s">
        <v>9</v>
      </c>
      <c r="I119" s="4" t="s">
        <v>9</v>
      </c>
      <c r="J119" s="4" t="s">
        <v>9</v>
      </c>
      <c r="K119" s="4" t="s">
        <v>9</v>
      </c>
      <c r="L119" s="1"/>
    </row>
    <row r="120" spans="1:12" ht="13" x14ac:dyDescent="0.15">
      <c r="A120" s="1" t="s">
        <v>148</v>
      </c>
      <c r="B120" s="1" t="s">
        <v>32</v>
      </c>
      <c r="C120" s="1">
        <v>71</v>
      </c>
      <c r="D120" s="1"/>
      <c r="E120" s="3">
        <v>10</v>
      </c>
      <c r="F120" s="1">
        <v>1</v>
      </c>
      <c r="G120" s="1" t="s">
        <v>50</v>
      </c>
      <c r="H120" s="1" t="s">
        <v>36</v>
      </c>
      <c r="I120" s="4" t="s">
        <v>9</v>
      </c>
      <c r="J120" s="4">
        <f>AVERAGE(800,350,700,200,600,700,350,600,225,500)</f>
        <v>502.5</v>
      </c>
      <c r="K120" s="1" t="s">
        <v>14</v>
      </c>
      <c r="L120" s="1"/>
    </row>
    <row r="121" spans="1:12" ht="13" x14ac:dyDescent="0.15">
      <c r="A121" s="1" t="s">
        <v>149</v>
      </c>
      <c r="B121" s="1" t="s">
        <v>32</v>
      </c>
      <c r="C121" s="1">
        <v>82</v>
      </c>
      <c r="D121" s="1"/>
      <c r="E121" s="3">
        <v>6.8</v>
      </c>
      <c r="F121" s="1">
        <v>1</v>
      </c>
      <c r="G121" s="1" t="s">
        <v>50</v>
      </c>
      <c r="H121" s="1" t="s">
        <v>9</v>
      </c>
      <c r="I121" s="4" t="s">
        <v>9</v>
      </c>
      <c r="J121" s="4">
        <f>AVERAGE(1500,900,1500,2500,2000,1500,1500,1850,1300,1500)</f>
        <v>1605</v>
      </c>
      <c r="K121" s="1" t="s">
        <v>73</v>
      </c>
      <c r="L121" s="1"/>
    </row>
    <row r="122" spans="1:12" ht="13" x14ac:dyDescent="0.15">
      <c r="A122" s="1" t="s">
        <v>150</v>
      </c>
      <c r="B122" s="1" t="s">
        <v>39</v>
      </c>
      <c r="C122" s="1">
        <v>172</v>
      </c>
      <c r="D122" s="1"/>
      <c r="E122" s="3" t="s">
        <v>9</v>
      </c>
      <c r="F122" s="1">
        <v>0</v>
      </c>
      <c r="G122" s="1" t="s">
        <v>12</v>
      </c>
      <c r="H122" s="1" t="s">
        <v>9</v>
      </c>
      <c r="I122" s="4" t="s">
        <v>9</v>
      </c>
      <c r="J122" s="4" t="s">
        <v>9</v>
      </c>
      <c r="K122" s="4" t="s">
        <v>9</v>
      </c>
      <c r="L122" s="1"/>
    </row>
    <row r="123" spans="1:12" ht="13" x14ac:dyDescent="0.15">
      <c r="A123" s="1" t="s">
        <v>151</v>
      </c>
      <c r="B123" s="1" t="s">
        <v>28</v>
      </c>
      <c r="C123" s="1">
        <v>31</v>
      </c>
      <c r="D123" s="1"/>
      <c r="E123" s="3">
        <v>10.25</v>
      </c>
      <c r="F123" s="1">
        <v>0</v>
      </c>
      <c r="G123" s="1" t="s">
        <v>17</v>
      </c>
      <c r="H123" s="1" t="s">
        <v>9</v>
      </c>
      <c r="I123" s="4" t="s">
        <v>9</v>
      </c>
      <c r="J123" s="4">
        <f>AVERAGE(400,1000,850,300,1500,595,600,600,1500,950)</f>
        <v>829.5</v>
      </c>
      <c r="K123" s="1" t="s">
        <v>19</v>
      </c>
      <c r="L123" s="1"/>
    </row>
    <row r="124" spans="1:12" ht="13" x14ac:dyDescent="0.15">
      <c r="A124" s="1" t="s">
        <v>152</v>
      </c>
      <c r="B124" s="1" t="s">
        <v>39</v>
      </c>
      <c r="C124" s="1">
        <v>149</v>
      </c>
      <c r="D124" s="1"/>
      <c r="E124" s="3" t="s">
        <v>9</v>
      </c>
      <c r="F124" s="1">
        <v>0</v>
      </c>
      <c r="G124" s="1" t="s">
        <v>50</v>
      </c>
      <c r="H124" s="1" t="s">
        <v>33</v>
      </c>
      <c r="I124" s="4" t="s">
        <v>9</v>
      </c>
      <c r="J124" s="4">
        <v>1500</v>
      </c>
      <c r="K124" s="1" t="s">
        <v>73</v>
      </c>
      <c r="L124" s="1"/>
    </row>
    <row r="125" spans="1:12" ht="13" x14ac:dyDescent="0.15">
      <c r="A125" s="1" t="s">
        <v>153</v>
      </c>
      <c r="B125" s="1" t="s">
        <v>11</v>
      </c>
      <c r="C125" s="1">
        <v>143</v>
      </c>
      <c r="D125" s="1"/>
      <c r="E125" s="3" t="s">
        <v>9</v>
      </c>
      <c r="F125" s="1" t="s">
        <v>9</v>
      </c>
      <c r="G125" s="1" t="s">
        <v>12</v>
      </c>
      <c r="H125" s="1" t="s">
        <v>9</v>
      </c>
      <c r="I125" s="4" t="s">
        <v>9</v>
      </c>
      <c r="J125" s="4" t="s">
        <v>9</v>
      </c>
      <c r="K125" s="4" t="s">
        <v>9</v>
      </c>
      <c r="L125" s="1"/>
    </row>
    <row r="126" spans="1:12" ht="13" x14ac:dyDescent="0.15">
      <c r="A126" s="1" t="s">
        <v>154</v>
      </c>
      <c r="B126" s="1" t="s">
        <v>21</v>
      </c>
      <c r="C126" s="1">
        <v>147</v>
      </c>
      <c r="D126" s="1"/>
      <c r="E126" s="3">
        <v>11.57</v>
      </c>
      <c r="F126" s="1" t="s">
        <v>9</v>
      </c>
      <c r="G126" s="1" t="s">
        <v>50</v>
      </c>
      <c r="H126" s="1" t="s">
        <v>9</v>
      </c>
      <c r="I126" s="4" t="s">
        <v>9</v>
      </c>
      <c r="J126" s="4">
        <v>1000</v>
      </c>
      <c r="K126" s="1" t="s">
        <v>19</v>
      </c>
      <c r="L126" s="1"/>
    </row>
    <row r="127" spans="1:12" ht="13" x14ac:dyDescent="0.15">
      <c r="A127" s="1" t="s">
        <v>155</v>
      </c>
      <c r="B127" s="1" t="s">
        <v>16</v>
      </c>
      <c r="C127" s="1">
        <v>132</v>
      </c>
      <c r="D127" s="1"/>
      <c r="E127" s="3" t="s">
        <v>9</v>
      </c>
      <c r="F127" s="1">
        <v>0</v>
      </c>
      <c r="G127" s="1" t="s">
        <v>12</v>
      </c>
      <c r="H127" s="1" t="s">
        <v>33</v>
      </c>
      <c r="I127" s="4" t="s">
        <v>9</v>
      </c>
      <c r="J127" s="4">
        <f>AVERAGE(700,400,850,500,588,850,500,400,500,588)</f>
        <v>587.6</v>
      </c>
      <c r="K127" s="1" t="s">
        <v>14</v>
      </c>
      <c r="L127" s="1"/>
    </row>
    <row r="128" spans="1:12" ht="13" x14ac:dyDescent="0.15">
      <c r="A128" s="1" t="s">
        <v>156</v>
      </c>
      <c r="B128" s="1" t="s">
        <v>21</v>
      </c>
      <c r="C128" s="1">
        <v>150</v>
      </c>
      <c r="D128" s="1"/>
      <c r="E128" s="3">
        <v>9.33</v>
      </c>
      <c r="F128" s="1">
        <v>1</v>
      </c>
      <c r="G128" s="1" t="s">
        <v>12</v>
      </c>
      <c r="H128" s="1" t="s">
        <v>22</v>
      </c>
      <c r="I128" s="4" t="s">
        <v>9</v>
      </c>
      <c r="J128" s="4" t="s">
        <v>9</v>
      </c>
      <c r="K128" s="4" t="s">
        <v>9</v>
      </c>
      <c r="L128" s="1"/>
    </row>
    <row r="129" spans="1:12" ht="13" x14ac:dyDescent="0.15">
      <c r="A129" s="1" t="s">
        <v>157</v>
      </c>
      <c r="B129" s="1" t="s">
        <v>28</v>
      </c>
      <c r="C129" s="1">
        <v>78</v>
      </c>
      <c r="D129" s="1"/>
      <c r="E129" s="3">
        <v>9.25</v>
      </c>
      <c r="F129" s="1">
        <v>0</v>
      </c>
      <c r="G129" s="1" t="s">
        <v>17</v>
      </c>
      <c r="H129" s="1" t="s">
        <v>36</v>
      </c>
      <c r="I129" s="4" t="s">
        <v>9</v>
      </c>
      <c r="J129" s="4">
        <f>AVERAGE(400,425,600,800,200,800,650,350,450,450)</f>
        <v>512.5</v>
      </c>
      <c r="K129" s="1" t="s">
        <v>14</v>
      </c>
      <c r="L129" s="1"/>
    </row>
    <row r="130" spans="1:12" ht="13" x14ac:dyDescent="0.15">
      <c r="A130" s="1" t="s">
        <v>158</v>
      </c>
      <c r="B130" s="1" t="s">
        <v>35</v>
      </c>
      <c r="C130" s="1">
        <v>98</v>
      </c>
      <c r="D130" s="1"/>
      <c r="E130" s="3">
        <v>12.17</v>
      </c>
      <c r="F130" s="1">
        <v>1</v>
      </c>
      <c r="G130" s="1" t="s">
        <v>12</v>
      </c>
      <c r="H130" s="1" t="s">
        <v>22</v>
      </c>
      <c r="I130" s="4" t="s">
        <v>9</v>
      </c>
      <c r="J130" s="4">
        <f>AVERAGE(1000,400,700,800,350,800,1000,350,350,350)</f>
        <v>610</v>
      </c>
      <c r="K130" s="1" t="s">
        <v>14</v>
      </c>
      <c r="L130" s="1"/>
    </row>
    <row r="131" spans="1:12" ht="13" x14ac:dyDescent="0.15">
      <c r="A131" s="1" t="s">
        <v>159</v>
      </c>
      <c r="B131" s="1" t="s">
        <v>32</v>
      </c>
      <c r="C131" s="1">
        <v>166</v>
      </c>
      <c r="D131" s="1"/>
      <c r="E131" s="3">
        <v>9.17</v>
      </c>
      <c r="F131" s="1">
        <v>1</v>
      </c>
      <c r="G131" s="1" t="s">
        <v>50</v>
      </c>
      <c r="H131" s="1" t="s">
        <v>9</v>
      </c>
      <c r="I131" s="4" t="s">
        <v>9</v>
      </c>
      <c r="J131" s="4">
        <f>AVERAGE(700,850,750,600,500,600,500,750)</f>
        <v>656.25</v>
      </c>
      <c r="K131" s="1" t="s">
        <v>14</v>
      </c>
      <c r="L131" s="1"/>
    </row>
    <row r="132" spans="1:12" ht="13" x14ac:dyDescent="0.15">
      <c r="A132" s="1" t="s">
        <v>160</v>
      </c>
      <c r="B132" s="1" t="s">
        <v>32</v>
      </c>
      <c r="C132" s="1">
        <v>148</v>
      </c>
      <c r="D132" s="1"/>
      <c r="E132" s="3" t="s">
        <v>9</v>
      </c>
      <c r="F132" s="1">
        <v>1</v>
      </c>
      <c r="G132" s="1" t="s">
        <v>50</v>
      </c>
      <c r="H132" s="1" t="s">
        <v>33</v>
      </c>
      <c r="I132" s="4" t="s">
        <v>9</v>
      </c>
      <c r="J132" s="4" t="s">
        <v>9</v>
      </c>
      <c r="K132" s="4" t="s">
        <v>9</v>
      </c>
      <c r="L132" s="1"/>
    </row>
    <row r="133" spans="1:12" ht="13" x14ac:dyDescent="0.15">
      <c r="A133" s="1" t="s">
        <v>161</v>
      </c>
      <c r="B133" s="1" t="s">
        <v>16</v>
      </c>
      <c r="C133" s="1">
        <v>135</v>
      </c>
      <c r="D133" s="1"/>
      <c r="E133" s="3" t="s">
        <v>9</v>
      </c>
      <c r="F133" s="1">
        <v>0</v>
      </c>
      <c r="G133" s="1" t="s">
        <v>17</v>
      </c>
      <c r="H133" s="1" t="s">
        <v>36</v>
      </c>
      <c r="I133" s="4" t="s">
        <v>9</v>
      </c>
      <c r="J133" s="4">
        <f>AVERAGE(1000,1400,1200,1600,1200,1000,750,1000,1200,575)</f>
        <v>1092.5</v>
      </c>
      <c r="K133" s="1" t="s">
        <v>19</v>
      </c>
      <c r="L133" s="1"/>
    </row>
    <row r="134" spans="1:12" ht="13" x14ac:dyDescent="0.15">
      <c r="A134" s="1" t="s">
        <v>162</v>
      </c>
      <c r="B134" s="1" t="s">
        <v>32</v>
      </c>
      <c r="C134" s="1">
        <v>103</v>
      </c>
      <c r="D134" s="1"/>
      <c r="E134" s="3">
        <v>6.98</v>
      </c>
      <c r="F134" s="1" t="s">
        <v>9</v>
      </c>
      <c r="G134" s="1" t="s">
        <v>50</v>
      </c>
      <c r="H134" s="1" t="s">
        <v>9</v>
      </c>
      <c r="I134" s="4" t="e">
        <f>J134+#REF!+#REF!+#REF!</f>
        <v>#REF!</v>
      </c>
      <c r="J134" s="4">
        <f>AVERAGE(1800,700,1800,1800,1300)</f>
        <v>1480</v>
      </c>
      <c r="K134" s="1" t="s">
        <v>19</v>
      </c>
      <c r="L134" s="1"/>
    </row>
    <row r="135" spans="1:12" ht="13" x14ac:dyDescent="0.15">
      <c r="A135" s="1" t="s">
        <v>163</v>
      </c>
      <c r="B135" s="1"/>
      <c r="C135" s="1"/>
      <c r="D135" s="1"/>
      <c r="E135" s="3"/>
      <c r="F135" s="1"/>
      <c r="G135" s="1"/>
      <c r="H135" s="1"/>
      <c r="I135" s="4"/>
      <c r="J135" s="4"/>
      <c r="K135" s="1"/>
      <c r="L135" s="1"/>
    </row>
    <row r="136" spans="1:12" ht="13" x14ac:dyDescent="0.15">
      <c r="A136" s="1" t="s">
        <v>164</v>
      </c>
      <c r="B136" s="1" t="s">
        <v>35</v>
      </c>
      <c r="C136" s="1">
        <v>152</v>
      </c>
      <c r="D136" s="1"/>
      <c r="E136" s="3">
        <v>10</v>
      </c>
      <c r="F136" s="1">
        <v>0</v>
      </c>
      <c r="G136" s="1" t="s">
        <v>17</v>
      </c>
      <c r="H136" s="1" t="s">
        <v>9</v>
      </c>
      <c r="I136" s="4" t="s">
        <v>9</v>
      </c>
      <c r="J136" s="4" t="s">
        <v>9</v>
      </c>
      <c r="K136" s="4" t="s">
        <v>9</v>
      </c>
      <c r="L136" s="1"/>
    </row>
    <row r="137" spans="1:12" ht="13" x14ac:dyDescent="0.15">
      <c r="A137" s="1" t="s">
        <v>165</v>
      </c>
      <c r="B137" s="1" t="s">
        <v>16</v>
      </c>
      <c r="C137" s="1">
        <v>119</v>
      </c>
      <c r="D137" s="1"/>
      <c r="E137" s="3">
        <v>9.32</v>
      </c>
      <c r="F137" s="1">
        <v>0</v>
      </c>
      <c r="G137" s="1" t="s">
        <v>17</v>
      </c>
      <c r="H137" s="1" t="s">
        <v>18</v>
      </c>
      <c r="I137" s="4" t="s">
        <v>9</v>
      </c>
      <c r="J137" s="4">
        <f>AVERAGE(1500,700,300,140,800,800,800)</f>
        <v>720</v>
      </c>
      <c r="K137" s="1" t="s">
        <v>19</v>
      </c>
      <c r="L137" s="1"/>
    </row>
    <row r="138" spans="1:12" ht="13" x14ac:dyDescent="0.15">
      <c r="A138" s="1" t="s">
        <v>166</v>
      </c>
      <c r="B138" s="1" t="s">
        <v>16</v>
      </c>
      <c r="C138" s="1">
        <v>127</v>
      </c>
      <c r="D138" s="1"/>
      <c r="E138" s="3">
        <v>6.6</v>
      </c>
      <c r="F138" s="1">
        <v>0</v>
      </c>
      <c r="G138" s="1" t="s">
        <v>17</v>
      </c>
      <c r="H138" s="1" t="s">
        <v>9</v>
      </c>
      <c r="I138" s="4" t="s">
        <v>9</v>
      </c>
      <c r="J138" s="4">
        <f>AVERAGE(2500,2000,999,999,2000,999,1199,1900,2000,2800)</f>
        <v>1739.6</v>
      </c>
      <c r="K138" s="1" t="s">
        <v>73</v>
      </c>
      <c r="L138" s="1"/>
    </row>
    <row r="139" spans="1:12" ht="13" x14ac:dyDescent="0.15">
      <c r="A139" s="1" t="s">
        <v>167</v>
      </c>
      <c r="B139" s="1" t="s">
        <v>28</v>
      </c>
      <c r="C139" s="1">
        <v>42</v>
      </c>
      <c r="D139" s="1"/>
      <c r="E139" s="3" t="s">
        <v>9</v>
      </c>
      <c r="F139" s="1">
        <v>0</v>
      </c>
      <c r="G139" s="1" t="s">
        <v>17</v>
      </c>
      <c r="H139" s="1" t="s">
        <v>18</v>
      </c>
      <c r="I139" s="4" t="s">
        <v>9</v>
      </c>
      <c r="J139" s="4">
        <f>AVERAGE(300,450,450,400,600,900,500,400,450,895)</f>
        <v>534.5</v>
      </c>
      <c r="K139" s="1" t="s">
        <v>14</v>
      </c>
      <c r="L139" s="1"/>
    </row>
    <row r="140" spans="1:12" ht="13" x14ac:dyDescent="0.15">
      <c r="A140" s="1" t="s">
        <v>168</v>
      </c>
      <c r="B140" s="1" t="s">
        <v>32</v>
      </c>
      <c r="C140" s="1">
        <v>110</v>
      </c>
      <c r="D140" s="1"/>
      <c r="E140" s="3" t="s">
        <v>9</v>
      </c>
      <c r="F140" s="1">
        <v>1</v>
      </c>
      <c r="G140" s="1" t="s">
        <v>50</v>
      </c>
      <c r="H140" s="1" t="s">
        <v>9</v>
      </c>
      <c r="I140" s="4" t="s">
        <v>9</v>
      </c>
      <c r="J140" s="4">
        <f>AVERAGE(1600,2000,2000,1500,1150,850,2000,1500,3500,1500)</f>
        <v>1760</v>
      </c>
      <c r="K140" s="1" t="s">
        <v>73</v>
      </c>
      <c r="L140" s="1"/>
    </row>
    <row r="141" spans="1:12" ht="13" x14ac:dyDescent="0.15">
      <c r="A141" s="1" t="s">
        <v>169</v>
      </c>
      <c r="B141" s="1" t="s">
        <v>11</v>
      </c>
      <c r="C141" s="1">
        <v>165</v>
      </c>
      <c r="D141" s="1"/>
      <c r="E141" s="3">
        <v>12.67</v>
      </c>
      <c r="F141" s="1" t="s">
        <v>9</v>
      </c>
      <c r="G141" s="1" t="s">
        <v>12</v>
      </c>
      <c r="H141" s="1" t="s">
        <v>9</v>
      </c>
      <c r="I141" s="4" t="s">
        <v>9</v>
      </c>
      <c r="J141" s="4" t="s">
        <v>9</v>
      </c>
      <c r="K141" s="4" t="s">
        <v>9</v>
      </c>
      <c r="L141" s="1"/>
    </row>
    <row r="142" spans="1:12" ht="13" x14ac:dyDescent="0.15">
      <c r="A142" s="1" t="s">
        <v>170</v>
      </c>
      <c r="B142" s="1" t="s">
        <v>39</v>
      </c>
      <c r="C142" s="1">
        <v>96</v>
      </c>
      <c r="D142" s="1"/>
      <c r="E142" s="3" t="s">
        <v>9</v>
      </c>
      <c r="F142" s="1">
        <v>1</v>
      </c>
      <c r="G142" s="1" t="s">
        <v>12</v>
      </c>
      <c r="H142" s="1" t="s">
        <v>18</v>
      </c>
      <c r="I142" s="4" t="s">
        <v>9</v>
      </c>
      <c r="J142" s="4">
        <f>AVERAGE(500,465,350,500,425)</f>
        <v>448</v>
      </c>
      <c r="K142" s="1" t="s">
        <v>14</v>
      </c>
      <c r="L142" s="1"/>
    </row>
    <row r="143" spans="1:12" ht="13" x14ac:dyDescent="0.15">
      <c r="A143" s="1" t="s">
        <v>171</v>
      </c>
      <c r="B143" s="1" t="s">
        <v>35</v>
      </c>
      <c r="C143" s="1">
        <v>170</v>
      </c>
      <c r="D143" s="1"/>
      <c r="E143" s="3" t="s">
        <v>9</v>
      </c>
      <c r="F143" s="1" t="s">
        <v>9</v>
      </c>
      <c r="G143" s="1" t="s">
        <v>17</v>
      </c>
      <c r="H143" s="1" t="s">
        <v>9</v>
      </c>
      <c r="I143" s="4" t="s">
        <v>9</v>
      </c>
      <c r="J143" s="4" t="s">
        <v>9</v>
      </c>
      <c r="K143" s="4" t="s">
        <v>9</v>
      </c>
      <c r="L143" s="1"/>
    </row>
    <row r="144" spans="1:12" ht="13" x14ac:dyDescent="0.15">
      <c r="A144" s="1" t="s">
        <v>172</v>
      </c>
      <c r="B144" s="1" t="s">
        <v>16</v>
      </c>
      <c r="C144" s="1">
        <v>89</v>
      </c>
      <c r="D144" s="1"/>
      <c r="E144" s="3" t="s">
        <v>9</v>
      </c>
      <c r="F144" s="1">
        <v>0</v>
      </c>
      <c r="G144" s="1" t="s">
        <v>17</v>
      </c>
      <c r="H144" s="1" t="s">
        <v>18</v>
      </c>
      <c r="I144" s="4" t="s">
        <v>9</v>
      </c>
      <c r="J144" s="4">
        <f>AVERAGE(750,750,1550,1650,800,1300,1550,2000,1300,800)</f>
        <v>1245</v>
      </c>
      <c r="K144" s="1" t="s">
        <v>19</v>
      </c>
      <c r="L144" s="1"/>
    </row>
    <row r="145" spans="1:12" ht="13" x14ac:dyDescent="0.15">
      <c r="A145" s="15" t="s">
        <v>173</v>
      </c>
      <c r="B145" s="1"/>
      <c r="C145" s="1"/>
      <c r="D145" s="1"/>
      <c r="E145" s="3"/>
      <c r="F145" s="1"/>
      <c r="G145" s="1"/>
      <c r="H145" s="1"/>
      <c r="I145" s="4"/>
      <c r="J145" s="4"/>
      <c r="K145" s="1"/>
      <c r="L145" s="1"/>
    </row>
    <row r="146" spans="1:12" ht="13" x14ac:dyDescent="0.15">
      <c r="A146" s="1" t="s">
        <v>174</v>
      </c>
      <c r="B146" s="1" t="s">
        <v>21</v>
      </c>
      <c r="C146" s="1">
        <v>107</v>
      </c>
      <c r="D146" s="1"/>
      <c r="E146" s="3">
        <v>6.5</v>
      </c>
      <c r="F146" s="1">
        <v>1</v>
      </c>
      <c r="G146" s="1" t="s">
        <v>12</v>
      </c>
      <c r="H146" s="1" t="s">
        <v>9</v>
      </c>
      <c r="I146" s="4" t="e">
        <f>J146+#REF!+#REF!+#REF!</f>
        <v>#REF!</v>
      </c>
      <c r="J146" s="4">
        <f>AVERAGE(1500,1500,1500,1500)</f>
        <v>1500</v>
      </c>
      <c r="K146" s="1" t="s">
        <v>73</v>
      </c>
      <c r="L146" s="1"/>
    </row>
    <row r="147" spans="1:12" ht="13" x14ac:dyDescent="0.15">
      <c r="A147" s="1" t="s">
        <v>175</v>
      </c>
      <c r="B147" s="1" t="s">
        <v>39</v>
      </c>
      <c r="C147" s="1">
        <v>169</v>
      </c>
      <c r="D147" s="1"/>
      <c r="E147" s="3">
        <v>10.8</v>
      </c>
      <c r="F147" s="1">
        <v>1</v>
      </c>
      <c r="G147" s="1" t="s">
        <v>50</v>
      </c>
      <c r="H147" s="1" t="s">
        <v>33</v>
      </c>
      <c r="I147" s="4" t="s">
        <v>9</v>
      </c>
      <c r="J147" s="4" t="s">
        <v>9</v>
      </c>
      <c r="K147" s="4" t="s">
        <v>9</v>
      </c>
      <c r="L147" s="1"/>
    </row>
    <row r="148" spans="1:12" ht="13" x14ac:dyDescent="0.15">
      <c r="A148" s="1" t="s">
        <v>176</v>
      </c>
      <c r="B148" s="1" t="s">
        <v>16</v>
      </c>
      <c r="C148" s="1">
        <v>97</v>
      </c>
      <c r="D148" s="1"/>
      <c r="E148" s="3" t="s">
        <v>9</v>
      </c>
      <c r="F148" s="1">
        <v>0</v>
      </c>
      <c r="G148" s="1" t="s">
        <v>17</v>
      </c>
      <c r="H148" s="1" t="s">
        <v>9</v>
      </c>
      <c r="I148" s="4" t="s">
        <v>9</v>
      </c>
      <c r="J148" s="4">
        <f>AVERAGE(800,150,350,800,450,325,350,350,850,850)</f>
        <v>527.5</v>
      </c>
      <c r="K148" s="1" t="s">
        <v>14</v>
      </c>
      <c r="L148" s="1"/>
    </row>
    <row r="149" spans="1:12" ht="13" x14ac:dyDescent="0.15">
      <c r="A149" s="1" t="s">
        <v>177</v>
      </c>
      <c r="B149" s="1" t="s">
        <v>39</v>
      </c>
      <c r="C149" s="1">
        <v>131</v>
      </c>
      <c r="D149" s="1"/>
      <c r="E149" s="3">
        <v>12.7</v>
      </c>
      <c r="F149" s="1">
        <v>0</v>
      </c>
      <c r="G149" s="1" t="s">
        <v>17</v>
      </c>
      <c r="H149" s="1" t="s">
        <v>36</v>
      </c>
      <c r="I149" s="4" t="s">
        <v>9</v>
      </c>
      <c r="J149" s="4">
        <f>AVERAGE(700,250,250)</f>
        <v>400</v>
      </c>
      <c r="K149" s="1" t="s">
        <v>14</v>
      </c>
      <c r="L149" s="1"/>
    </row>
    <row r="150" spans="1:12" ht="13" x14ac:dyDescent="0.15">
      <c r="A150" s="1" t="s">
        <v>178</v>
      </c>
      <c r="B150" s="1" t="s">
        <v>39</v>
      </c>
      <c r="C150" s="1">
        <v>145</v>
      </c>
      <c r="D150" s="1"/>
      <c r="E150" s="3" t="s">
        <v>9</v>
      </c>
      <c r="F150" s="1">
        <v>0</v>
      </c>
      <c r="G150" s="1" t="s">
        <v>12</v>
      </c>
      <c r="H150" s="1" t="s">
        <v>9</v>
      </c>
      <c r="I150" s="4" t="s">
        <v>9</v>
      </c>
      <c r="J150" s="4" t="s">
        <v>9</v>
      </c>
      <c r="K150" s="4" t="s">
        <v>9</v>
      </c>
      <c r="L150" s="1"/>
    </row>
    <row r="151" spans="1:12" ht="13" x14ac:dyDescent="0.15">
      <c r="A151" s="1" t="s">
        <v>179</v>
      </c>
      <c r="B151" s="1" t="s">
        <v>11</v>
      </c>
      <c r="C151" s="1">
        <v>159</v>
      </c>
      <c r="D151" s="1"/>
      <c r="E151" s="3">
        <v>10.8</v>
      </c>
      <c r="F151" s="1" t="s">
        <v>9</v>
      </c>
      <c r="G151" s="1" t="s">
        <v>12</v>
      </c>
      <c r="H151" s="1" t="s">
        <v>9</v>
      </c>
      <c r="I151" s="4" t="s">
        <v>9</v>
      </c>
      <c r="J151" s="4" t="s">
        <v>9</v>
      </c>
      <c r="K151" s="4" t="s">
        <v>9</v>
      </c>
      <c r="L151" s="1"/>
    </row>
    <row r="152" spans="1:12" ht="13" x14ac:dyDescent="0.15">
      <c r="A152" s="1" t="s">
        <v>180</v>
      </c>
      <c r="B152" s="1" t="s">
        <v>32</v>
      </c>
      <c r="C152" s="1">
        <v>56</v>
      </c>
      <c r="D152" s="1"/>
      <c r="E152" s="3">
        <v>11.42</v>
      </c>
      <c r="F152" s="1">
        <v>0</v>
      </c>
      <c r="G152" s="1" t="s">
        <v>12</v>
      </c>
      <c r="H152" s="1" t="s">
        <v>9</v>
      </c>
      <c r="I152" s="4" t="s">
        <v>9</v>
      </c>
      <c r="J152" s="4" t="s">
        <v>9</v>
      </c>
      <c r="K152" s="4" t="s">
        <v>9</v>
      </c>
      <c r="L152" s="1"/>
    </row>
    <row r="153" spans="1:12" ht="13" x14ac:dyDescent="0.15">
      <c r="A153" s="1" t="s">
        <v>181</v>
      </c>
      <c r="B153" s="1" t="s">
        <v>11</v>
      </c>
      <c r="C153" s="1">
        <v>156</v>
      </c>
      <c r="D153" s="1"/>
      <c r="E153" s="3" t="s">
        <v>9</v>
      </c>
      <c r="F153" s="1">
        <v>0</v>
      </c>
      <c r="G153" s="1" t="s">
        <v>12</v>
      </c>
      <c r="H153" s="1" t="s">
        <v>18</v>
      </c>
      <c r="I153" s="4" t="s">
        <v>9</v>
      </c>
      <c r="J153" s="4">
        <f>AVERAGE(700,1000,1000,800,800,1000,1000,1000)</f>
        <v>912.5</v>
      </c>
      <c r="K153" s="1" t="s">
        <v>19</v>
      </c>
      <c r="L153" s="1"/>
    </row>
    <row r="154" spans="1:12" ht="13" x14ac:dyDescent="0.15">
      <c r="A154" s="1" t="s">
        <v>182</v>
      </c>
      <c r="B154" s="1" t="s">
        <v>11</v>
      </c>
      <c r="C154" s="1">
        <v>162</v>
      </c>
      <c r="D154" s="1"/>
      <c r="E154" s="3" t="s">
        <v>9</v>
      </c>
      <c r="F154" s="1" t="s">
        <v>9</v>
      </c>
      <c r="G154" s="1" t="s">
        <v>12</v>
      </c>
      <c r="H154" s="1" t="s">
        <v>9</v>
      </c>
      <c r="I154" s="4" t="s">
        <v>9</v>
      </c>
      <c r="J154" s="4" t="s">
        <v>9</v>
      </c>
      <c r="K154" s="4" t="s">
        <v>9</v>
      </c>
      <c r="L154" s="1"/>
    </row>
    <row r="155" spans="1:12" ht="13" x14ac:dyDescent="0.15">
      <c r="A155" s="1" t="s">
        <v>183</v>
      </c>
      <c r="B155" s="1" t="s">
        <v>39</v>
      </c>
      <c r="C155" s="1">
        <v>126</v>
      </c>
      <c r="D155" s="1"/>
      <c r="E155" s="3" t="s">
        <v>9</v>
      </c>
      <c r="F155" s="1">
        <v>0</v>
      </c>
      <c r="G155" s="1" t="s">
        <v>50</v>
      </c>
      <c r="H155" s="1" t="s">
        <v>9</v>
      </c>
      <c r="I155" s="4" t="s">
        <v>9</v>
      </c>
      <c r="J155" s="4">
        <f>AVERAGE(350,500,400,300,600,350,300,700,350,400)</f>
        <v>425</v>
      </c>
      <c r="K155" s="1" t="s">
        <v>14</v>
      </c>
      <c r="L155" s="1"/>
    </row>
    <row r="156" spans="1:12" ht="13" x14ac:dyDescent="0.15">
      <c r="A156" s="1" t="s">
        <v>184</v>
      </c>
      <c r="B156" s="1" t="s">
        <v>35</v>
      </c>
      <c r="C156" s="1">
        <v>105</v>
      </c>
      <c r="D156" s="1"/>
      <c r="E156" s="3">
        <v>13</v>
      </c>
      <c r="F156" s="1">
        <v>4</v>
      </c>
      <c r="G156" s="1" t="s">
        <v>17</v>
      </c>
      <c r="H156" s="1" t="s">
        <v>22</v>
      </c>
      <c r="I156" s="4" t="s">
        <v>9</v>
      </c>
      <c r="J156" s="4">
        <f>AVERAGE(800,500,700,975,600,800,700,700,300,500)</f>
        <v>657.5</v>
      </c>
      <c r="K156" s="1" t="s">
        <v>14</v>
      </c>
      <c r="L156" s="1"/>
    </row>
    <row r="157" spans="1:12" ht="13" x14ac:dyDescent="0.15">
      <c r="A157" s="1" t="s">
        <v>185</v>
      </c>
      <c r="B157" s="1" t="s">
        <v>39</v>
      </c>
      <c r="C157" s="1">
        <v>142</v>
      </c>
      <c r="D157" s="1"/>
      <c r="E157" s="3">
        <v>8.6999999999999993</v>
      </c>
      <c r="F157" s="1">
        <v>2</v>
      </c>
      <c r="G157" s="1" t="s">
        <v>50</v>
      </c>
      <c r="H157" s="1" t="s">
        <v>33</v>
      </c>
      <c r="I157" s="4" t="s">
        <v>9</v>
      </c>
      <c r="J157" s="4" t="s">
        <v>9</v>
      </c>
      <c r="K157" s="4" t="s">
        <v>9</v>
      </c>
      <c r="L157" s="1"/>
    </row>
    <row r="158" spans="1:12" ht="13" x14ac:dyDescent="0.15">
      <c r="A158" s="1" t="s">
        <v>186</v>
      </c>
      <c r="B158" s="1" t="s">
        <v>16</v>
      </c>
      <c r="C158" s="1">
        <v>163</v>
      </c>
      <c r="D158" s="1"/>
      <c r="E158" s="3">
        <v>12.25</v>
      </c>
      <c r="F158" s="1">
        <v>1</v>
      </c>
      <c r="G158" s="1" t="s">
        <v>17</v>
      </c>
      <c r="H158" s="1" t="s">
        <v>36</v>
      </c>
      <c r="I158" s="4" t="s">
        <v>9</v>
      </c>
      <c r="J158" s="4" t="s">
        <v>9</v>
      </c>
      <c r="K158" s="4" t="s">
        <v>9</v>
      </c>
      <c r="L158" s="1"/>
    </row>
    <row r="159" spans="1:12" ht="13" x14ac:dyDescent="0.15">
      <c r="A159" s="1" t="s">
        <v>187</v>
      </c>
      <c r="B159" s="1" t="s">
        <v>35</v>
      </c>
      <c r="C159" s="1">
        <v>53</v>
      </c>
      <c r="D159" s="1"/>
      <c r="E159" s="3">
        <v>7</v>
      </c>
      <c r="F159" s="1">
        <v>1</v>
      </c>
      <c r="G159" s="1" t="s">
        <v>17</v>
      </c>
      <c r="H159" s="1" t="s">
        <v>9</v>
      </c>
      <c r="I159" s="4" t="s">
        <v>9</v>
      </c>
      <c r="J159" s="4">
        <f>AVERAGE(1200,950,750,850,1400,650,800,850,800,650)</f>
        <v>890</v>
      </c>
      <c r="K159" s="1" t="s">
        <v>19</v>
      </c>
      <c r="L159" s="1"/>
    </row>
    <row r="160" spans="1:12" ht="13" x14ac:dyDescent="0.15">
      <c r="A160" s="1" t="s">
        <v>188</v>
      </c>
      <c r="B160" s="1" t="s">
        <v>28</v>
      </c>
      <c r="C160" s="1">
        <v>85</v>
      </c>
      <c r="D160" s="1"/>
      <c r="E160" s="3">
        <v>14.25</v>
      </c>
      <c r="F160" s="1">
        <v>0</v>
      </c>
      <c r="G160" s="1" t="s">
        <v>17</v>
      </c>
      <c r="H160" s="1" t="s">
        <v>18</v>
      </c>
      <c r="I160" s="4" t="s">
        <v>9</v>
      </c>
      <c r="J160" s="4">
        <f>AVERAGE(500,500,500,500,375,500,500,250,500,350)</f>
        <v>447.5</v>
      </c>
      <c r="K160" s="1" t="s">
        <v>14</v>
      </c>
      <c r="L160" s="1"/>
    </row>
    <row r="161" spans="1:12" ht="13" x14ac:dyDescent="0.15">
      <c r="A161" s="1" t="s">
        <v>189</v>
      </c>
      <c r="B161" s="1" t="s">
        <v>16</v>
      </c>
      <c r="C161" s="1">
        <v>164</v>
      </c>
      <c r="D161" s="1"/>
      <c r="E161" s="3">
        <v>11</v>
      </c>
      <c r="F161" s="1">
        <v>0</v>
      </c>
      <c r="G161" s="1" t="s">
        <v>17</v>
      </c>
      <c r="H161" s="1" t="s">
        <v>36</v>
      </c>
      <c r="I161" s="4" t="s">
        <v>9</v>
      </c>
      <c r="J161" s="4">
        <f>AVERAGE(600,500)</f>
        <v>550</v>
      </c>
      <c r="K161" s="1" t="s">
        <v>14</v>
      </c>
      <c r="L161" s="1"/>
    </row>
    <row r="162" spans="1:12" ht="13" x14ac:dyDescent="0.15">
      <c r="A162" s="1" t="s">
        <v>190</v>
      </c>
      <c r="B162" s="1" t="s">
        <v>16</v>
      </c>
      <c r="C162" s="1">
        <v>113</v>
      </c>
      <c r="D162" s="1"/>
      <c r="E162" s="3">
        <v>13.17</v>
      </c>
      <c r="F162" s="1">
        <v>0</v>
      </c>
      <c r="G162" s="1" t="s">
        <v>17</v>
      </c>
      <c r="H162" s="1" t="s">
        <v>33</v>
      </c>
      <c r="I162" s="4" t="s">
        <v>9</v>
      </c>
      <c r="J162" s="4">
        <f>AVERAGE(450,650,750,450)</f>
        <v>575</v>
      </c>
      <c r="K162" s="1" t="s">
        <v>14</v>
      </c>
      <c r="L162" s="1"/>
    </row>
    <row r="163" spans="1:12" ht="13" x14ac:dyDescent="0.15">
      <c r="A163" s="1" t="s">
        <v>191</v>
      </c>
      <c r="B163" s="1" t="s">
        <v>16</v>
      </c>
      <c r="C163" s="1">
        <v>52</v>
      </c>
      <c r="D163" s="1"/>
      <c r="E163" s="3">
        <v>12.16</v>
      </c>
      <c r="F163" s="1">
        <v>0</v>
      </c>
      <c r="G163" s="1" t="s">
        <v>12</v>
      </c>
      <c r="H163" s="1" t="s">
        <v>33</v>
      </c>
      <c r="I163" s="4" t="s">
        <v>9</v>
      </c>
      <c r="J163" s="4">
        <f>AVERAGE(700,1000,800,900,795,750,900,675,800,995)</f>
        <v>831.5</v>
      </c>
      <c r="K163" s="1" t="s">
        <v>19</v>
      </c>
      <c r="L163" s="1"/>
    </row>
    <row r="164" spans="1:12" ht="13" x14ac:dyDescent="0.15">
      <c r="A164" s="1" t="s">
        <v>192</v>
      </c>
      <c r="B164" s="1" t="s">
        <v>21</v>
      </c>
      <c r="C164" s="1">
        <v>123</v>
      </c>
      <c r="D164" s="1"/>
      <c r="E164" s="3">
        <v>9</v>
      </c>
      <c r="F164" s="1" t="s">
        <v>9</v>
      </c>
      <c r="G164" s="1" t="s">
        <v>50</v>
      </c>
      <c r="H164" s="1" t="s">
        <v>9</v>
      </c>
      <c r="I164" s="4" t="s">
        <v>9</v>
      </c>
      <c r="J164" s="4">
        <f>AVERAGE(1100,2000,2000,1800)</f>
        <v>1725</v>
      </c>
      <c r="K164" s="1" t="s">
        <v>73</v>
      </c>
      <c r="L164" s="1"/>
    </row>
    <row r="165" spans="1:12" ht="13" x14ac:dyDescent="0.15">
      <c r="A165" s="1" t="s">
        <v>193</v>
      </c>
      <c r="B165" s="1" t="s">
        <v>32</v>
      </c>
      <c r="C165" s="1">
        <v>91</v>
      </c>
      <c r="D165" s="1"/>
      <c r="E165" s="3" t="s">
        <v>9</v>
      </c>
      <c r="F165" s="1">
        <v>1</v>
      </c>
      <c r="G165" s="1" t="s">
        <v>12</v>
      </c>
      <c r="H165" s="1" t="s">
        <v>22</v>
      </c>
      <c r="I165" s="4" t="s">
        <v>9</v>
      </c>
      <c r="J165" s="4">
        <f>AVERAGE(1500,700,1000,1200,1500,50,1000,300,1000,300)</f>
        <v>855</v>
      </c>
      <c r="K165" s="1" t="s">
        <v>19</v>
      </c>
      <c r="L165" s="1"/>
    </row>
    <row r="166" spans="1:12" ht="13" x14ac:dyDescent="0.15">
      <c r="A166" s="1" t="s">
        <v>194</v>
      </c>
      <c r="B166" s="1" t="s">
        <v>21</v>
      </c>
      <c r="C166" s="1">
        <v>161</v>
      </c>
      <c r="D166" s="1"/>
      <c r="E166" s="3">
        <v>11.17</v>
      </c>
      <c r="F166" s="1">
        <v>0</v>
      </c>
      <c r="G166" s="1" t="s">
        <v>17</v>
      </c>
      <c r="H166" s="1" t="s">
        <v>9</v>
      </c>
      <c r="I166" s="4" t="s">
        <v>9</v>
      </c>
      <c r="J166" s="4" t="s">
        <v>9</v>
      </c>
      <c r="K166" s="4" t="s">
        <v>9</v>
      </c>
      <c r="L166" s="1"/>
    </row>
    <row r="167" spans="1:12" ht="13" x14ac:dyDescent="0.15">
      <c r="A167" s="1" t="s">
        <v>195</v>
      </c>
      <c r="B167" s="1" t="s">
        <v>11</v>
      </c>
      <c r="C167" s="1">
        <v>153</v>
      </c>
      <c r="D167" s="1"/>
      <c r="E167" s="3">
        <v>14.17</v>
      </c>
      <c r="F167" s="1" t="s">
        <v>9</v>
      </c>
      <c r="G167" s="1" t="s">
        <v>17</v>
      </c>
      <c r="H167" s="1" t="s">
        <v>9</v>
      </c>
      <c r="I167" s="4" t="e">
        <f>J167+#REF!+#REF!+#REF!</f>
        <v>#REF!</v>
      </c>
      <c r="J167" s="4">
        <f>AVERAGE(600,700,800,700,1000,1000,600,1000,550)</f>
        <v>772.22222222222217</v>
      </c>
      <c r="K167" s="1" t="s">
        <v>19</v>
      </c>
      <c r="L167" s="1"/>
    </row>
    <row r="168" spans="1:12" ht="13" x14ac:dyDescent="0.15">
      <c r="A168" s="1" t="s">
        <v>196</v>
      </c>
      <c r="B168" s="1" t="s">
        <v>32</v>
      </c>
      <c r="C168" s="1">
        <v>122</v>
      </c>
      <c r="D168" s="1"/>
      <c r="E168" s="3">
        <v>11.92</v>
      </c>
      <c r="F168" s="1" t="s">
        <v>9</v>
      </c>
      <c r="G168" s="1" t="s">
        <v>50</v>
      </c>
      <c r="H168" s="1" t="s">
        <v>9</v>
      </c>
      <c r="I168" s="4" t="e">
        <f>J168+#REF!+#REF!+#REF!</f>
        <v>#REF!</v>
      </c>
      <c r="J168" s="4">
        <f>AVERAGE(2000,4000,800,6500,4000)</f>
        <v>3460</v>
      </c>
      <c r="K168" s="1" t="s">
        <v>73</v>
      </c>
      <c r="L168" s="1"/>
    </row>
    <row r="169" spans="1:12" ht="13" x14ac:dyDescent="0.15">
      <c r="A169" s="1" t="s">
        <v>197</v>
      </c>
      <c r="B169" s="1" t="s">
        <v>28</v>
      </c>
      <c r="C169" s="1">
        <v>101</v>
      </c>
      <c r="D169" s="1"/>
      <c r="E169" s="3" t="s">
        <v>9</v>
      </c>
      <c r="F169" s="1" t="s">
        <v>9</v>
      </c>
      <c r="G169" s="1" t="s">
        <v>17</v>
      </c>
      <c r="H169" s="1" t="s">
        <v>9</v>
      </c>
      <c r="I169" s="4" t="s">
        <v>9</v>
      </c>
      <c r="J169" s="4">
        <f>AVERAGE(350,450,350,600,350,200,650,550,650,450)</f>
        <v>460</v>
      </c>
      <c r="K169" s="1" t="s">
        <v>14</v>
      </c>
      <c r="L169" s="1"/>
    </row>
    <row r="170" spans="1:12" ht="13" x14ac:dyDescent="0.15">
      <c r="A170" s="1" t="s">
        <v>198</v>
      </c>
      <c r="B170" s="1" t="s">
        <v>21</v>
      </c>
      <c r="C170" s="1">
        <v>37</v>
      </c>
      <c r="D170" s="1"/>
      <c r="E170" s="3">
        <v>12.5</v>
      </c>
      <c r="F170" s="1">
        <v>0</v>
      </c>
      <c r="G170" s="1" t="s">
        <v>12</v>
      </c>
      <c r="H170" s="1" t="s">
        <v>22</v>
      </c>
      <c r="I170" s="4" t="s">
        <v>9</v>
      </c>
      <c r="J170" s="4">
        <f>AVERAGE(700,1000,900,850,1095,800,1200,1000,800,1000)</f>
        <v>934.5</v>
      </c>
      <c r="K170" s="1" t="s">
        <v>19</v>
      </c>
      <c r="L170" s="1"/>
    </row>
    <row r="171" spans="1:12" ht="13" x14ac:dyDescent="0.15">
      <c r="A171" s="1" t="s">
        <v>199</v>
      </c>
      <c r="B171" s="1" t="s">
        <v>21</v>
      </c>
      <c r="C171" s="1">
        <v>32</v>
      </c>
      <c r="D171" s="1"/>
      <c r="E171" s="3" t="s">
        <v>9</v>
      </c>
      <c r="F171" s="1">
        <v>1</v>
      </c>
      <c r="G171" s="1" t="s">
        <v>50</v>
      </c>
      <c r="H171" s="1" t="s">
        <v>22</v>
      </c>
      <c r="I171" s="4" t="s">
        <v>9</v>
      </c>
      <c r="J171" s="4">
        <f>AVERAGE(300,400,600,600,700,600,900,495,425,600)</f>
        <v>562</v>
      </c>
      <c r="K171" s="1" t="s">
        <v>14</v>
      </c>
      <c r="L171" s="1"/>
    </row>
    <row r="172" spans="1:12" ht="13" x14ac:dyDescent="0.15">
      <c r="A172" s="1" t="s">
        <v>200</v>
      </c>
      <c r="B172" s="1" t="s">
        <v>16</v>
      </c>
      <c r="C172" s="1">
        <v>99</v>
      </c>
      <c r="D172" s="1"/>
      <c r="E172" s="3" t="s">
        <v>9</v>
      </c>
      <c r="F172" s="1">
        <v>0</v>
      </c>
      <c r="G172" s="1" t="s">
        <v>17</v>
      </c>
      <c r="H172" s="1" t="s">
        <v>33</v>
      </c>
      <c r="I172" s="4" t="s">
        <v>9</v>
      </c>
      <c r="J172" s="4">
        <f>AVERAGE(1250,600,950,900,575,650,825,600,1250,825)</f>
        <v>842.5</v>
      </c>
      <c r="K172" s="1" t="s">
        <v>19</v>
      </c>
      <c r="L172" s="1"/>
    </row>
    <row r="173" spans="1:12" ht="13" x14ac:dyDescent="0.15">
      <c r="A173" s="1" t="s">
        <v>201</v>
      </c>
      <c r="B173" s="1" t="s">
        <v>16</v>
      </c>
      <c r="C173" s="1">
        <v>100</v>
      </c>
      <c r="D173" s="1"/>
      <c r="E173" s="3">
        <v>13.17</v>
      </c>
      <c r="F173" s="1">
        <v>0</v>
      </c>
      <c r="G173" s="1" t="s">
        <v>17</v>
      </c>
      <c r="H173" s="1" t="s">
        <v>33</v>
      </c>
      <c r="I173" s="4" t="s">
        <v>9</v>
      </c>
      <c r="J173" s="4">
        <f>AVERAGE(600,600,650,700,650,1600,650,175,600,450)</f>
        <v>667.5</v>
      </c>
      <c r="K173" s="1" t="s">
        <v>14</v>
      </c>
      <c r="L173" s="1"/>
    </row>
    <row r="174" spans="1:12" ht="13" x14ac:dyDescent="0.15">
      <c r="A174" s="1" t="s">
        <v>202</v>
      </c>
      <c r="B174" s="1" t="s">
        <v>21</v>
      </c>
      <c r="C174" s="1">
        <v>92</v>
      </c>
      <c r="D174" s="1"/>
      <c r="E174" s="3">
        <v>8.8000000000000007</v>
      </c>
      <c r="F174" s="1">
        <v>0</v>
      </c>
      <c r="G174" s="1" t="s">
        <v>12</v>
      </c>
      <c r="H174" s="1" t="s">
        <v>33</v>
      </c>
      <c r="I174" s="4" t="s">
        <v>9</v>
      </c>
      <c r="J174" s="4">
        <f>AVERAGE(750,750,800,750,750,750,750,750,750,750)</f>
        <v>755</v>
      </c>
      <c r="K174" s="1" t="s">
        <v>19</v>
      </c>
      <c r="L174" s="1"/>
    </row>
    <row r="175" spans="1:12" ht="13" x14ac:dyDescent="0.15">
      <c r="A175" s="1" t="s">
        <v>203</v>
      </c>
      <c r="B175" s="1" t="s">
        <v>35</v>
      </c>
      <c r="C175" s="1">
        <v>155</v>
      </c>
      <c r="D175" s="1"/>
      <c r="E175" s="3" t="s">
        <v>9</v>
      </c>
      <c r="F175" s="1" t="s">
        <v>9</v>
      </c>
      <c r="G175" s="1" t="s">
        <v>12</v>
      </c>
      <c r="H175" s="1" t="s">
        <v>9</v>
      </c>
      <c r="I175" s="4" t="s">
        <v>9</v>
      </c>
      <c r="J175" s="4">
        <f>AVERAGE(450,450,450,2000,600,1200,500,500,300)</f>
        <v>716.66666666666663</v>
      </c>
      <c r="K175" s="1" t="s">
        <v>19</v>
      </c>
      <c r="L175" s="1"/>
    </row>
    <row r="176" spans="1:12" ht="13" x14ac:dyDescent="0.15">
      <c r="A176" s="1"/>
      <c r="B176" s="1"/>
      <c r="C176" s="1"/>
      <c r="D176" s="1"/>
      <c r="E176" s="3"/>
      <c r="F176" s="1"/>
      <c r="G176" s="1"/>
      <c r="H176" s="1"/>
      <c r="I176" s="4"/>
      <c r="J176" s="4"/>
      <c r="K176" s="1"/>
      <c r="L176" s="1"/>
    </row>
    <row r="177" spans="1:12" ht="13" x14ac:dyDescent="0.15">
      <c r="A177" s="1"/>
      <c r="B177" s="1"/>
      <c r="C177" s="1"/>
      <c r="D177" s="1"/>
      <c r="E177" s="3"/>
      <c r="F177" s="1"/>
      <c r="G177" s="1"/>
      <c r="H177" s="1"/>
      <c r="I177" s="4"/>
      <c r="J177" s="4"/>
      <c r="K177" s="1"/>
      <c r="L177" s="1"/>
    </row>
    <row r="178" spans="1:12" ht="13" x14ac:dyDescent="0.15">
      <c r="A178" s="1"/>
      <c r="B178" s="1"/>
      <c r="C178" s="1"/>
      <c r="D178" s="1"/>
      <c r="E178" s="3"/>
      <c r="F178" s="1"/>
      <c r="G178" s="1"/>
      <c r="H178" s="1"/>
      <c r="I178" s="4"/>
      <c r="J178" s="4"/>
      <c r="K178" s="1"/>
      <c r="L178" s="1"/>
    </row>
    <row r="179" spans="1:12" ht="13" x14ac:dyDescent="0.15">
      <c r="A179" s="1"/>
      <c r="B179" s="1"/>
      <c r="C179" s="1"/>
      <c r="D179" s="1"/>
      <c r="E179" s="3"/>
      <c r="F179" s="1"/>
      <c r="G179" s="1"/>
      <c r="H179" s="1"/>
      <c r="I179" s="4"/>
      <c r="J179" s="4"/>
      <c r="K179" s="1"/>
      <c r="L179" s="1"/>
    </row>
    <row r="180" spans="1:12" ht="13" x14ac:dyDescent="0.15">
      <c r="A180" s="1"/>
      <c r="B180" s="1"/>
      <c r="C180" s="1"/>
      <c r="D180" s="1"/>
      <c r="E180" s="3"/>
      <c r="F180" s="1"/>
      <c r="G180" s="1"/>
      <c r="H180" s="1"/>
      <c r="I180" s="4"/>
      <c r="J180" s="4"/>
      <c r="K180" s="1"/>
      <c r="L180" s="1"/>
    </row>
    <row r="181" spans="1:12" ht="13" x14ac:dyDescent="0.15">
      <c r="A181" s="1"/>
      <c r="B181" s="1"/>
      <c r="C181" s="1"/>
      <c r="D181" s="1"/>
      <c r="E181" s="3"/>
      <c r="F181" s="1"/>
      <c r="G181" s="1"/>
      <c r="H181" s="1"/>
      <c r="I181" s="4"/>
      <c r="J181" s="4"/>
      <c r="K181" s="1"/>
      <c r="L181" s="1"/>
    </row>
    <row r="182" spans="1:12" ht="13" x14ac:dyDescent="0.15">
      <c r="A182" s="2"/>
      <c r="B182" s="2"/>
      <c r="C182" s="2"/>
      <c r="D182" s="2"/>
      <c r="E182" s="16"/>
      <c r="F182" s="2"/>
      <c r="G182" s="2"/>
      <c r="H182" s="2"/>
      <c r="I182" s="13"/>
      <c r="J182" s="13"/>
      <c r="K182" s="2"/>
      <c r="L182" s="2"/>
    </row>
    <row r="183" spans="1:12" ht="13" x14ac:dyDescent="0.15">
      <c r="A183" s="1"/>
      <c r="B183" s="1"/>
      <c r="C183" s="1"/>
      <c r="D183" s="1"/>
      <c r="E183" s="3"/>
      <c r="F183" s="1"/>
      <c r="G183" s="1"/>
      <c r="H183" s="1"/>
      <c r="I183" s="4"/>
      <c r="J183" s="4"/>
      <c r="K183" s="1"/>
      <c r="L183" s="1"/>
    </row>
    <row r="184" spans="1:12" ht="13" x14ac:dyDescent="0.15">
      <c r="A184" s="1"/>
      <c r="B184" s="1"/>
      <c r="C184" s="1"/>
      <c r="D184" s="1"/>
      <c r="E184" s="3"/>
      <c r="F184" s="1"/>
      <c r="G184" s="1"/>
      <c r="H184" s="1"/>
      <c r="I184" s="4"/>
      <c r="J184" s="4"/>
      <c r="K184" s="1"/>
      <c r="L184" s="1"/>
    </row>
    <row r="185" spans="1:12" ht="13" x14ac:dyDescent="0.15">
      <c r="A185" s="1"/>
      <c r="B185" s="1"/>
      <c r="C185" s="1"/>
      <c r="D185" s="1"/>
      <c r="E185" s="3"/>
      <c r="F185" s="1"/>
      <c r="G185" s="1"/>
      <c r="H185" s="1"/>
      <c r="I185" s="4"/>
      <c r="J185" s="4"/>
      <c r="K185" s="1"/>
      <c r="L185" s="1"/>
    </row>
    <row r="186" spans="1:12" ht="13" x14ac:dyDescent="0.15">
      <c r="A186" s="1"/>
      <c r="B186" s="1"/>
      <c r="C186" s="1"/>
      <c r="D186" s="1"/>
      <c r="E186" s="3"/>
      <c r="F186" s="1"/>
      <c r="G186" s="1"/>
      <c r="H186" s="1"/>
      <c r="I186" s="4"/>
      <c r="J186" s="4"/>
      <c r="K186" s="1"/>
      <c r="L186" s="1"/>
    </row>
    <row r="187" spans="1:12" ht="13" x14ac:dyDescent="0.15">
      <c r="A187" s="1"/>
      <c r="B187" s="1"/>
      <c r="C187" s="1"/>
      <c r="D187" s="1"/>
      <c r="E187" s="3"/>
      <c r="F187" s="1"/>
      <c r="G187" s="1"/>
      <c r="H187" s="1"/>
      <c r="I187" s="4"/>
      <c r="J187" s="4"/>
      <c r="K187" s="1"/>
      <c r="L187" s="1"/>
    </row>
    <row r="188" spans="1:12" ht="13" x14ac:dyDescent="0.15"/>
    <row r="189" spans="1:12" ht="13" x14ac:dyDescent="0.15"/>
    <row r="190" spans="1:12" ht="13" x14ac:dyDescent="0.15"/>
    <row r="191" spans="1:12" ht="13" x14ac:dyDescent="0.15"/>
    <row r="192" spans="1:12" ht="13" x14ac:dyDescent="0.15"/>
    <row r="193" spans="1:12" ht="13" x14ac:dyDescent="0.15"/>
    <row r="194" spans="1:12" ht="13" x14ac:dyDescent="0.15"/>
    <row r="195" spans="1:12" ht="13" x14ac:dyDescent="0.15"/>
    <row r="196" spans="1:12" ht="13" x14ac:dyDescent="0.15"/>
    <row r="197" spans="1:12" ht="13" x14ac:dyDescent="0.15"/>
    <row r="198" spans="1:12" ht="13" x14ac:dyDescent="0.15"/>
    <row r="199" spans="1:12" ht="13" x14ac:dyDescent="0.15"/>
    <row r="200" spans="1:12" ht="13" x14ac:dyDescent="0.15"/>
    <row r="201" spans="1:12" ht="13" x14ac:dyDescent="0.15">
      <c r="A201" s="1"/>
      <c r="B201" s="1"/>
      <c r="C201" s="1"/>
      <c r="D201" s="1"/>
      <c r="E201" s="3"/>
      <c r="F201" s="1"/>
      <c r="G201" s="1"/>
      <c r="H201" s="1"/>
      <c r="I201" s="4"/>
      <c r="J201" s="4"/>
      <c r="K201" s="1"/>
      <c r="L201" s="1"/>
    </row>
    <row r="202" spans="1:12" ht="13" x14ac:dyDescent="0.15">
      <c r="A202" s="5"/>
      <c r="B202" s="1"/>
      <c r="C202" s="1"/>
      <c r="D202" s="1"/>
      <c r="E202" s="1"/>
      <c r="F202" s="1"/>
      <c r="G202" s="1"/>
      <c r="H202" s="1"/>
      <c r="I202" s="4"/>
      <c r="J202" s="4"/>
      <c r="K202" s="1"/>
      <c r="L202" s="1"/>
    </row>
    <row r="203" spans="1:12" ht="13" x14ac:dyDescent="0.15">
      <c r="A203" s="1"/>
      <c r="B203" s="17"/>
      <c r="C203" s="17"/>
      <c r="D203" s="17"/>
      <c r="E203" s="1"/>
      <c r="F203" s="1"/>
      <c r="G203" s="1"/>
      <c r="I203" s="4"/>
      <c r="J203" s="4"/>
      <c r="K203" s="1"/>
      <c r="L203" s="1"/>
    </row>
    <row r="204" spans="1:12" ht="13" x14ac:dyDescent="0.15">
      <c r="A204" s="1"/>
      <c r="B204" s="17"/>
      <c r="C204" s="17"/>
      <c r="D204" s="17"/>
      <c r="E204" s="1"/>
      <c r="F204" s="1"/>
      <c r="G204" s="1"/>
      <c r="I204" s="4"/>
      <c r="J204" s="4"/>
      <c r="K204" s="1"/>
      <c r="L204" s="1"/>
    </row>
    <row r="205" spans="1:12" ht="13" x14ac:dyDescent="0.15">
      <c r="A205" s="1"/>
      <c r="B205" s="17"/>
      <c r="C205" s="17"/>
      <c r="D205" s="17"/>
      <c r="E205" s="1"/>
      <c r="F205" s="1"/>
      <c r="G205" s="1"/>
      <c r="I205" s="4"/>
      <c r="J205" s="4"/>
      <c r="K205" s="1"/>
      <c r="L205" s="1"/>
    </row>
    <row r="206" spans="1:12" ht="13" x14ac:dyDescent="0.15">
      <c r="A206" s="1"/>
      <c r="B206" s="17"/>
      <c r="C206" s="17"/>
      <c r="D206" s="17"/>
      <c r="E206" s="1"/>
      <c r="F206" s="1"/>
      <c r="G206" s="1"/>
      <c r="I206" s="4"/>
      <c r="J206" s="4"/>
      <c r="K206" s="1"/>
      <c r="L206" s="1"/>
    </row>
    <row r="207" spans="1:12" ht="13" x14ac:dyDescent="0.15">
      <c r="A207" s="1"/>
      <c r="B207" s="1"/>
      <c r="C207" s="1"/>
      <c r="D207" s="1"/>
      <c r="E207" s="3"/>
      <c r="F207" s="1"/>
      <c r="G207" s="1"/>
      <c r="H207" s="1"/>
      <c r="I207" s="4"/>
      <c r="J207" s="4"/>
      <c r="K207" s="1"/>
      <c r="L207" s="1"/>
    </row>
    <row r="208" spans="1:12" ht="13" x14ac:dyDescent="0.15">
      <c r="A208" s="1"/>
      <c r="B208" s="1"/>
      <c r="C208" s="1"/>
      <c r="D208" s="1"/>
      <c r="E208" s="3"/>
      <c r="F208" s="1"/>
      <c r="G208" s="1"/>
      <c r="H208" s="1"/>
      <c r="I208" s="4"/>
      <c r="J208" s="4"/>
      <c r="K208" s="1"/>
      <c r="L208" s="1"/>
    </row>
    <row r="209" spans="1:12" ht="13" x14ac:dyDescent="0.15">
      <c r="A209" s="1"/>
      <c r="B209" s="1"/>
      <c r="C209" s="1"/>
      <c r="D209" s="1"/>
      <c r="E209" s="3"/>
      <c r="F209" s="1"/>
      <c r="G209" s="1"/>
      <c r="H209" s="1"/>
      <c r="I209" s="4"/>
      <c r="J209" s="4"/>
      <c r="K209" s="1"/>
      <c r="L209" s="1"/>
    </row>
    <row r="210" spans="1:12" ht="13" x14ac:dyDescent="0.15">
      <c r="A210" s="1"/>
      <c r="B210" s="1"/>
      <c r="C210" s="1"/>
      <c r="D210" s="1"/>
      <c r="E210" s="3"/>
      <c r="F210" s="1"/>
      <c r="G210" s="1"/>
      <c r="H210" s="1"/>
      <c r="I210" s="4"/>
      <c r="J210" s="4"/>
      <c r="K210" s="1"/>
      <c r="L210" s="1"/>
    </row>
    <row r="211" spans="1:12" ht="13" x14ac:dyDescent="0.15">
      <c r="A211" s="1"/>
      <c r="B211" s="1"/>
      <c r="C211" s="1"/>
      <c r="D211" s="1"/>
      <c r="E211" s="3"/>
      <c r="F211" s="1"/>
      <c r="G211" s="1"/>
      <c r="H211" s="1"/>
      <c r="I211" s="4"/>
      <c r="J211" s="4"/>
      <c r="K211" s="1"/>
      <c r="L211" s="1"/>
    </row>
    <row r="212" spans="1:12" ht="13" x14ac:dyDescent="0.15">
      <c r="A212" s="1"/>
      <c r="B212" s="1"/>
      <c r="C212" s="1"/>
      <c r="D212" s="1"/>
      <c r="E212" s="3"/>
      <c r="F212" s="1"/>
      <c r="G212" s="1"/>
      <c r="H212" s="1"/>
      <c r="I212" s="4"/>
      <c r="J212" s="4"/>
      <c r="K212" s="1"/>
      <c r="L212" s="1"/>
    </row>
    <row r="213" spans="1:12" ht="13" x14ac:dyDescent="0.15">
      <c r="A213" s="1"/>
      <c r="B213" s="1"/>
      <c r="C213" s="1"/>
      <c r="D213" s="1"/>
      <c r="E213" s="3"/>
      <c r="F213" s="1"/>
      <c r="G213" s="1"/>
      <c r="H213" s="1"/>
      <c r="I213" s="4"/>
      <c r="J213" s="4"/>
      <c r="K213" s="1"/>
      <c r="L213" s="1"/>
    </row>
    <row r="214" spans="1:12" ht="13" x14ac:dyDescent="0.15">
      <c r="A214" s="1"/>
      <c r="B214" s="1"/>
      <c r="C214" s="1"/>
      <c r="D214" s="1"/>
      <c r="E214" s="3"/>
      <c r="F214" s="1"/>
      <c r="G214" s="1"/>
      <c r="H214" s="1"/>
      <c r="I214" s="4"/>
      <c r="J214" s="4"/>
      <c r="K214" s="1"/>
      <c r="L214" s="1"/>
    </row>
    <row r="215" spans="1:12" ht="13" x14ac:dyDescent="0.15">
      <c r="A215" s="1"/>
      <c r="B215" s="1"/>
      <c r="C215" s="1"/>
      <c r="D215" s="1"/>
      <c r="E215" s="3"/>
      <c r="F215" s="1"/>
      <c r="G215" s="1"/>
      <c r="H215" s="1"/>
      <c r="I215" s="4"/>
      <c r="J215" s="4"/>
      <c r="K215" s="1"/>
      <c r="L215" s="1"/>
    </row>
    <row r="216" spans="1:12" ht="13" x14ac:dyDescent="0.15">
      <c r="A216" s="1"/>
      <c r="B216" s="1"/>
      <c r="C216" s="1"/>
      <c r="D216" s="1"/>
      <c r="E216" s="3"/>
      <c r="F216" s="1"/>
      <c r="G216" s="1"/>
      <c r="H216" s="1"/>
      <c r="I216" s="4"/>
      <c r="J216" s="4"/>
      <c r="K216" s="1"/>
      <c r="L216" s="1"/>
    </row>
    <row r="217" spans="1:12" ht="13" x14ac:dyDescent="0.15">
      <c r="A217" s="1"/>
      <c r="B217" s="1"/>
      <c r="C217" s="1"/>
      <c r="D217" s="1"/>
      <c r="E217" s="3"/>
      <c r="F217" s="1"/>
      <c r="G217" s="1"/>
      <c r="H217" s="1"/>
      <c r="I217" s="4"/>
      <c r="J217" s="4"/>
      <c r="K217" s="1"/>
      <c r="L217" s="1"/>
    </row>
    <row r="218" spans="1:12" ht="13" x14ac:dyDescent="0.15">
      <c r="A218" s="1"/>
      <c r="B218" s="1"/>
      <c r="C218" s="1"/>
      <c r="D218" s="1"/>
      <c r="E218" s="3"/>
      <c r="F218" s="1"/>
      <c r="G218" s="1"/>
      <c r="H218" s="1"/>
      <c r="I218" s="4"/>
      <c r="J218" s="4"/>
      <c r="K218" s="1"/>
      <c r="L218" s="1"/>
    </row>
    <row r="219" spans="1:12" ht="13" x14ac:dyDescent="0.15">
      <c r="A219" s="1"/>
      <c r="B219" s="1"/>
      <c r="C219" s="1"/>
      <c r="D219" s="1"/>
      <c r="E219" s="3"/>
      <c r="F219" s="1"/>
      <c r="G219" s="1"/>
      <c r="H219" s="1"/>
      <c r="I219" s="4"/>
      <c r="J219" s="4"/>
      <c r="K219" s="1"/>
      <c r="L219" s="1"/>
    </row>
    <row r="220" spans="1:12" ht="13" x14ac:dyDescent="0.15">
      <c r="A220" s="1"/>
      <c r="B220" s="1"/>
      <c r="C220" s="1"/>
      <c r="D220" s="1"/>
      <c r="E220" s="3"/>
      <c r="F220" s="1"/>
      <c r="G220" s="1"/>
      <c r="H220" s="1"/>
      <c r="I220" s="4"/>
      <c r="J220" s="4"/>
      <c r="K220" s="1"/>
      <c r="L220" s="1"/>
    </row>
    <row r="221" spans="1:12" ht="13" x14ac:dyDescent="0.15">
      <c r="A221" s="1"/>
      <c r="B221" s="1"/>
      <c r="C221" s="1"/>
      <c r="D221" s="1"/>
      <c r="E221" s="3"/>
      <c r="F221" s="1"/>
      <c r="G221" s="1"/>
      <c r="H221" s="1"/>
      <c r="I221" s="4"/>
      <c r="J221" s="4"/>
      <c r="K221" s="1"/>
      <c r="L221" s="1"/>
    </row>
    <row r="222" spans="1:12" ht="13" x14ac:dyDescent="0.15">
      <c r="A222" s="1"/>
      <c r="B222" s="1"/>
      <c r="C222" s="1"/>
      <c r="D222" s="1"/>
      <c r="E222" s="3"/>
      <c r="F222" s="1"/>
      <c r="G222" s="1"/>
      <c r="H222" s="1"/>
      <c r="I222" s="4"/>
      <c r="J222" s="4"/>
      <c r="K222" s="1"/>
      <c r="L222" s="1"/>
    </row>
    <row r="223" spans="1:12" ht="13" x14ac:dyDescent="0.15">
      <c r="A223" s="1"/>
      <c r="B223" s="1"/>
      <c r="C223" s="1"/>
      <c r="D223" s="1"/>
      <c r="E223" s="3"/>
      <c r="F223" s="1"/>
      <c r="G223" s="1"/>
      <c r="H223" s="1"/>
      <c r="I223" s="4"/>
      <c r="J223" s="4"/>
      <c r="K223" s="1"/>
      <c r="L223" s="1"/>
    </row>
    <row r="224" spans="1:12" ht="13" x14ac:dyDescent="0.15">
      <c r="A224" s="1"/>
      <c r="B224" s="1"/>
      <c r="C224" s="1"/>
      <c r="D224" s="1"/>
      <c r="E224" s="3"/>
      <c r="F224" s="1"/>
      <c r="G224" s="1"/>
      <c r="H224" s="1"/>
      <c r="I224" s="4"/>
      <c r="J224" s="4"/>
      <c r="K224" s="1"/>
      <c r="L224" s="1"/>
    </row>
    <row r="225" spans="1:12" ht="13" x14ac:dyDescent="0.15">
      <c r="A225" s="1"/>
      <c r="B225" s="1"/>
      <c r="C225" s="1"/>
      <c r="D225" s="1"/>
      <c r="E225" s="3"/>
      <c r="F225" s="1"/>
      <c r="G225" s="1"/>
      <c r="H225" s="1"/>
      <c r="I225" s="4"/>
      <c r="J225" s="4"/>
      <c r="K225" s="1"/>
      <c r="L225" s="1"/>
    </row>
    <row r="226" spans="1:12" ht="13" x14ac:dyDescent="0.15">
      <c r="A226" s="1"/>
      <c r="B226" s="1"/>
      <c r="C226" s="1"/>
      <c r="D226" s="1"/>
      <c r="E226" s="3"/>
      <c r="F226" s="1"/>
      <c r="G226" s="1"/>
      <c r="H226" s="1"/>
      <c r="I226" s="4"/>
      <c r="J226" s="4"/>
      <c r="K226" s="1"/>
      <c r="L226" s="1"/>
    </row>
    <row r="227" spans="1:12" ht="13" x14ac:dyDescent="0.15">
      <c r="A227" s="1"/>
      <c r="B227" s="1"/>
      <c r="C227" s="1"/>
      <c r="D227" s="1"/>
      <c r="E227" s="3"/>
      <c r="F227" s="1"/>
      <c r="G227" s="1"/>
      <c r="H227" s="1"/>
      <c r="I227" s="4"/>
      <c r="J227" s="4"/>
      <c r="K227" s="1"/>
      <c r="L227" s="1"/>
    </row>
    <row r="228" spans="1:12" ht="13" x14ac:dyDescent="0.15">
      <c r="A228" s="1"/>
      <c r="B228" s="1"/>
      <c r="C228" s="1"/>
      <c r="D228" s="1"/>
      <c r="E228" s="3"/>
      <c r="F228" s="1"/>
      <c r="G228" s="1"/>
      <c r="H228" s="1"/>
      <c r="I228" s="4"/>
      <c r="J228" s="4"/>
      <c r="K228" s="1"/>
      <c r="L228" s="1"/>
    </row>
    <row r="229" spans="1:12" ht="13" x14ac:dyDescent="0.15">
      <c r="A229" s="1"/>
      <c r="B229" s="1"/>
      <c r="C229" s="1"/>
      <c r="D229" s="1"/>
      <c r="E229" s="3"/>
      <c r="F229" s="1"/>
      <c r="G229" s="1"/>
      <c r="H229" s="1"/>
      <c r="I229" s="4"/>
      <c r="J229" s="4"/>
      <c r="K229" s="1"/>
      <c r="L229" s="1"/>
    </row>
    <row r="230" spans="1:12" ht="13" x14ac:dyDescent="0.15">
      <c r="A230" s="1"/>
      <c r="B230" s="1"/>
      <c r="C230" s="1"/>
      <c r="D230" s="1"/>
      <c r="E230" s="3"/>
      <c r="F230" s="1"/>
      <c r="G230" s="1"/>
      <c r="H230" s="1"/>
      <c r="I230" s="4"/>
      <c r="J230" s="4"/>
      <c r="K230" s="1"/>
      <c r="L230" s="1"/>
    </row>
    <row r="231" spans="1:12" ht="13" x14ac:dyDescent="0.15">
      <c r="A231" s="1"/>
      <c r="B231" s="1"/>
      <c r="C231" s="1"/>
      <c r="D231" s="1"/>
      <c r="E231" s="3"/>
      <c r="F231" s="1"/>
      <c r="G231" s="1"/>
      <c r="H231" s="1"/>
      <c r="I231" s="4"/>
      <c r="J231" s="4"/>
      <c r="K231" s="1"/>
      <c r="L231" s="1"/>
    </row>
    <row r="232" spans="1:12" ht="13" x14ac:dyDescent="0.15">
      <c r="A232" s="1"/>
      <c r="B232" s="1"/>
      <c r="C232" s="1"/>
      <c r="D232" s="1"/>
      <c r="E232" s="3"/>
      <c r="F232" s="1"/>
      <c r="G232" s="1"/>
      <c r="H232" s="1"/>
      <c r="I232" s="4"/>
      <c r="J232" s="4"/>
      <c r="K232" s="1"/>
      <c r="L2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88"/>
  <sheetViews>
    <sheetView tabSelected="1" workbookViewId="0">
      <pane ySplit="1" topLeftCell="A2" activePane="bottomLeft" state="frozen"/>
      <selection pane="bottomLeft" activeCell="G1" sqref="G1:G104857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8" t="s">
        <v>204</v>
      </c>
      <c r="B1" s="18" t="s">
        <v>205</v>
      </c>
      <c r="C1" s="19" t="s">
        <v>211</v>
      </c>
      <c r="D1" s="20" t="s">
        <v>206</v>
      </c>
      <c r="E1" s="18" t="s">
        <v>207</v>
      </c>
      <c r="F1" s="18" t="s">
        <v>208</v>
      </c>
      <c r="G1" s="18" t="s">
        <v>220</v>
      </c>
      <c r="H1" s="21" t="s">
        <v>207</v>
      </c>
      <c r="I1" s="22" t="s">
        <v>221</v>
      </c>
      <c r="J1" s="22" t="s">
        <v>222</v>
      </c>
      <c r="K1" s="20" t="s">
        <v>208</v>
      </c>
      <c r="L1" s="20" t="s">
        <v>212</v>
      </c>
      <c r="M1" s="23" t="s">
        <v>210</v>
      </c>
      <c r="N1" s="23" t="s">
        <v>223</v>
      </c>
      <c r="O1" s="20" t="s">
        <v>224</v>
      </c>
      <c r="P1" s="24" t="s">
        <v>225</v>
      </c>
      <c r="Q1" s="20" t="s">
        <v>213</v>
      </c>
      <c r="R1" s="20" t="s">
        <v>214</v>
      </c>
      <c r="S1" s="25" t="s">
        <v>215</v>
      </c>
      <c r="T1" s="25" t="s">
        <v>216</v>
      </c>
      <c r="U1" s="18" t="s">
        <v>217</v>
      </c>
      <c r="V1" s="18" t="s">
        <v>218</v>
      </c>
      <c r="W1" s="18" t="s">
        <v>219</v>
      </c>
      <c r="X1" s="18" t="s">
        <v>219</v>
      </c>
      <c r="Y1" s="26"/>
    </row>
    <row r="2" spans="1:25" ht="15.75" customHeight="1" x14ac:dyDescent="0.15">
      <c r="A2" s="27" t="s">
        <v>10</v>
      </c>
      <c r="B2" s="27" t="s">
        <v>11</v>
      </c>
      <c r="C2" s="28">
        <v>3.64</v>
      </c>
      <c r="D2" s="27">
        <v>45</v>
      </c>
      <c r="E2" s="27">
        <v>2</v>
      </c>
      <c r="F2" s="27" t="s">
        <v>13</v>
      </c>
      <c r="G2" s="29">
        <f t="shared" ref="G2:G88" si="0">L2+N2+P2+0.5*(R2+T2)+V2+X2</f>
        <v>4.0162835249042139</v>
      </c>
      <c r="H2" s="30" t="s">
        <v>12</v>
      </c>
      <c r="I2" s="31">
        <v>20143</v>
      </c>
      <c r="J2" s="32">
        <v>0.48</v>
      </c>
      <c r="K2" s="27">
        <v>1</v>
      </c>
      <c r="L2" s="33">
        <f t="shared" ref="L2:L88" si="1">(RANK(K2,$K$2:$K$88,0))/87</f>
        <v>1</v>
      </c>
      <c r="M2" s="29">
        <v>12.52</v>
      </c>
      <c r="N2" s="34">
        <f t="shared" ref="N2:N88" si="2">(RANK(M2,$M$2:$M$88,1))/87</f>
        <v>0.7931034482758621</v>
      </c>
      <c r="O2" s="27">
        <v>2</v>
      </c>
      <c r="P2" s="33">
        <f t="shared" ref="P2:P88" si="3">1-(O2/9)</f>
        <v>0.77777777777777779</v>
      </c>
      <c r="Q2" s="31">
        <v>622.5</v>
      </c>
      <c r="R2" s="34">
        <f t="shared" ref="R2:R88" si="4">(RANK(Q2,$Q$2:$Q$88,0))/87</f>
        <v>0.71264367816091956</v>
      </c>
      <c r="S2" s="31">
        <v>324.43969499999997</v>
      </c>
      <c r="T2" s="34">
        <f t="shared" ref="T2:T88" si="5">RANK(S2,$S$2:$S$88,0)/87</f>
        <v>0.67816091954022983</v>
      </c>
      <c r="U2" s="27">
        <v>2</v>
      </c>
      <c r="V2" s="34">
        <v>0.75</v>
      </c>
      <c r="W2" s="27">
        <v>3</v>
      </c>
      <c r="X2" s="32">
        <v>0</v>
      </c>
      <c r="Y2" s="26"/>
    </row>
    <row r="3" spans="1:25" ht="15.75" customHeight="1" x14ac:dyDescent="0.15">
      <c r="A3" s="27" t="s">
        <v>15</v>
      </c>
      <c r="B3" s="27" t="s">
        <v>16</v>
      </c>
      <c r="C3" s="28">
        <v>3.61</v>
      </c>
      <c r="D3" s="27">
        <v>80</v>
      </c>
      <c r="E3" s="27">
        <v>1</v>
      </c>
      <c r="F3" s="27" t="s">
        <v>18</v>
      </c>
      <c r="G3" s="29">
        <f t="shared" si="0"/>
        <v>4.985632183908046</v>
      </c>
      <c r="H3" s="30" t="s">
        <v>17</v>
      </c>
      <c r="I3" s="31">
        <v>22638</v>
      </c>
      <c r="J3" s="32">
        <v>0.14000000000000001</v>
      </c>
      <c r="K3" s="27">
        <v>30</v>
      </c>
      <c r="L3" s="33">
        <f t="shared" si="1"/>
        <v>0.70114942528735635</v>
      </c>
      <c r="M3" s="29">
        <v>14</v>
      </c>
      <c r="N3" s="34">
        <f t="shared" si="2"/>
        <v>0.97701149425287359</v>
      </c>
      <c r="O3" s="27">
        <v>0</v>
      </c>
      <c r="P3" s="33">
        <f t="shared" si="3"/>
        <v>1</v>
      </c>
      <c r="Q3" s="31">
        <v>833.33333333333303</v>
      </c>
      <c r="R3" s="34">
        <f t="shared" si="4"/>
        <v>0.43678160919540232</v>
      </c>
      <c r="S3" s="31">
        <v>324.43969499999997</v>
      </c>
      <c r="T3" s="34">
        <f t="shared" si="5"/>
        <v>0.67816091954022983</v>
      </c>
      <c r="U3" s="27">
        <v>2</v>
      </c>
      <c r="V3" s="34">
        <v>0.75</v>
      </c>
      <c r="W3" s="27">
        <v>1</v>
      </c>
      <c r="X3" s="34">
        <f>100%</f>
        <v>1</v>
      </c>
      <c r="Y3" s="26"/>
    </row>
    <row r="4" spans="1:25" ht="15.75" customHeight="1" x14ac:dyDescent="0.15">
      <c r="A4" s="27" t="s">
        <v>20</v>
      </c>
      <c r="B4" s="27" t="s">
        <v>21</v>
      </c>
      <c r="C4" s="28">
        <v>3.54</v>
      </c>
      <c r="D4" s="27">
        <v>30</v>
      </c>
      <c r="E4" s="27">
        <v>2</v>
      </c>
      <c r="F4" s="27" t="s">
        <v>22</v>
      </c>
      <c r="G4" s="29">
        <f t="shared" si="0"/>
        <v>4.416666666666667</v>
      </c>
      <c r="H4" s="30" t="s">
        <v>12</v>
      </c>
      <c r="I4" s="31">
        <v>22589</v>
      </c>
      <c r="J4" s="32">
        <v>0.16</v>
      </c>
      <c r="K4" s="27">
        <v>19</v>
      </c>
      <c r="L4" s="33">
        <f t="shared" si="1"/>
        <v>0.8045977011494253</v>
      </c>
      <c r="M4" s="29">
        <v>12.92</v>
      </c>
      <c r="N4" s="34">
        <f t="shared" si="2"/>
        <v>0.88505747126436785</v>
      </c>
      <c r="O4" s="27">
        <v>0</v>
      </c>
      <c r="P4" s="33">
        <f t="shared" si="3"/>
        <v>1</v>
      </c>
      <c r="Q4" s="31">
        <v>617.5</v>
      </c>
      <c r="R4" s="34">
        <f t="shared" si="4"/>
        <v>0.72413793103448276</v>
      </c>
      <c r="S4" s="31">
        <v>466.38206156249998</v>
      </c>
      <c r="T4" s="34">
        <f t="shared" si="5"/>
        <v>0.22988505747126436</v>
      </c>
      <c r="U4" s="27">
        <v>2</v>
      </c>
      <c r="V4" s="34">
        <v>0.75</v>
      </c>
      <c r="W4" s="27">
        <v>2</v>
      </c>
      <c r="X4" s="32">
        <v>0.5</v>
      </c>
      <c r="Y4" s="26"/>
    </row>
    <row r="5" spans="1:25" ht="15.75" customHeight="1" x14ac:dyDescent="0.15">
      <c r="A5" s="27" t="s">
        <v>23</v>
      </c>
      <c r="B5" s="27" t="s">
        <v>16</v>
      </c>
      <c r="C5" s="28">
        <v>3.53</v>
      </c>
      <c r="D5" s="27">
        <v>59</v>
      </c>
      <c r="E5" s="27">
        <v>1</v>
      </c>
      <c r="F5" s="27" t="s">
        <v>18</v>
      </c>
      <c r="G5" s="29">
        <f t="shared" si="0"/>
        <v>4.907088122605364</v>
      </c>
      <c r="H5" s="30" t="s">
        <v>17</v>
      </c>
      <c r="I5" s="31">
        <v>21992</v>
      </c>
      <c r="J5" s="32">
        <v>0.22</v>
      </c>
      <c r="K5" s="27">
        <v>35</v>
      </c>
      <c r="L5" s="33">
        <f t="shared" si="1"/>
        <v>0.60919540229885061</v>
      </c>
      <c r="M5" s="29">
        <v>13.84</v>
      </c>
      <c r="N5" s="34">
        <f t="shared" si="2"/>
        <v>0.95402298850574707</v>
      </c>
      <c r="O5" s="27">
        <v>2</v>
      </c>
      <c r="P5" s="33">
        <f t="shared" si="3"/>
        <v>0.77777777777777779</v>
      </c>
      <c r="Q5" s="31">
        <v>435</v>
      </c>
      <c r="R5" s="34">
        <f t="shared" si="4"/>
        <v>0.95402298850574707</v>
      </c>
      <c r="S5" s="31">
        <v>324.43969499999997</v>
      </c>
      <c r="T5" s="34">
        <f t="shared" si="5"/>
        <v>0.67816091954022983</v>
      </c>
      <c r="U5" s="27">
        <v>2</v>
      </c>
      <c r="V5" s="34">
        <v>0.75</v>
      </c>
      <c r="W5" s="27">
        <v>1</v>
      </c>
      <c r="X5" s="34">
        <f t="shared" ref="X5:X7" si="6">100%</f>
        <v>1</v>
      </c>
      <c r="Y5" s="26"/>
    </row>
    <row r="6" spans="1:25" ht="15.75" customHeight="1" x14ac:dyDescent="0.15">
      <c r="A6" s="27" t="s">
        <v>24</v>
      </c>
      <c r="B6" s="27" t="s">
        <v>21</v>
      </c>
      <c r="C6" s="28">
        <v>3.34</v>
      </c>
      <c r="D6" s="27">
        <v>130</v>
      </c>
      <c r="E6" s="27">
        <v>2</v>
      </c>
      <c r="F6" s="27" t="s">
        <v>18</v>
      </c>
      <c r="G6" s="29">
        <f t="shared" si="0"/>
        <v>4.7136015325670497</v>
      </c>
      <c r="H6" s="30" t="s">
        <v>12</v>
      </c>
      <c r="I6" s="31">
        <v>20224</v>
      </c>
      <c r="J6" s="32">
        <v>0.47</v>
      </c>
      <c r="K6" s="27">
        <v>31</v>
      </c>
      <c r="L6" s="33">
        <f t="shared" si="1"/>
        <v>0.68965517241379315</v>
      </c>
      <c r="M6" s="29">
        <v>12.49</v>
      </c>
      <c r="N6" s="34">
        <f t="shared" si="2"/>
        <v>0.77011494252873558</v>
      </c>
      <c r="O6" s="27">
        <v>1</v>
      </c>
      <c r="P6" s="33">
        <f t="shared" si="3"/>
        <v>0.88888888888888884</v>
      </c>
      <c r="Q6" s="31">
        <v>750</v>
      </c>
      <c r="R6" s="34">
        <f t="shared" si="4"/>
        <v>0.55172413793103448</v>
      </c>
      <c r="S6" s="31">
        <v>324.43969499999997</v>
      </c>
      <c r="T6" s="34">
        <f t="shared" si="5"/>
        <v>0.67816091954022983</v>
      </c>
      <c r="U6" s="27">
        <v>2</v>
      </c>
      <c r="V6" s="34">
        <v>0.75</v>
      </c>
      <c r="W6" s="27">
        <v>1</v>
      </c>
      <c r="X6" s="34">
        <f t="shared" si="6"/>
        <v>1</v>
      </c>
      <c r="Y6" s="26"/>
    </row>
    <row r="7" spans="1:25" ht="15.75" customHeight="1" x14ac:dyDescent="0.15">
      <c r="A7" s="27" t="s">
        <v>25</v>
      </c>
      <c r="B7" s="27" t="s">
        <v>21</v>
      </c>
      <c r="C7" s="28">
        <v>3.33</v>
      </c>
      <c r="D7" s="27">
        <v>63</v>
      </c>
      <c r="E7" s="27">
        <v>2</v>
      </c>
      <c r="F7" s="27" t="s">
        <v>22</v>
      </c>
      <c r="G7" s="29">
        <f t="shared" si="0"/>
        <v>4.7040229885057467</v>
      </c>
      <c r="H7" s="30" t="s">
        <v>12</v>
      </c>
      <c r="I7" s="31">
        <v>18993</v>
      </c>
      <c r="J7" s="32">
        <v>0.63</v>
      </c>
      <c r="K7" s="27">
        <v>18</v>
      </c>
      <c r="L7" s="33">
        <f t="shared" si="1"/>
        <v>0.81609195402298851</v>
      </c>
      <c r="M7" s="29">
        <v>11.66</v>
      </c>
      <c r="N7" s="34">
        <f t="shared" si="2"/>
        <v>0.54022988505747127</v>
      </c>
      <c r="O7" s="27">
        <v>0</v>
      </c>
      <c r="P7" s="33">
        <f t="shared" si="3"/>
        <v>1</v>
      </c>
      <c r="Q7" s="31">
        <v>800</v>
      </c>
      <c r="R7" s="34">
        <f t="shared" si="4"/>
        <v>0.51724137931034486</v>
      </c>
      <c r="S7" s="31">
        <v>324.43969499999997</v>
      </c>
      <c r="T7" s="34">
        <f t="shared" si="5"/>
        <v>0.67816091954022983</v>
      </c>
      <c r="U7" s="27">
        <v>2</v>
      </c>
      <c r="V7" s="34">
        <v>0.75</v>
      </c>
      <c r="W7" s="27">
        <v>1</v>
      </c>
      <c r="X7" s="34">
        <f t="shared" si="6"/>
        <v>1</v>
      </c>
      <c r="Y7" s="26"/>
    </row>
    <row r="8" spans="1:25" ht="15.75" customHeight="1" x14ac:dyDescent="0.15">
      <c r="A8" s="35" t="s">
        <v>26</v>
      </c>
      <c r="B8" s="35" t="s">
        <v>21</v>
      </c>
      <c r="C8" s="28">
        <v>3.3</v>
      </c>
      <c r="D8" s="35">
        <v>27</v>
      </c>
      <c r="E8" s="27">
        <v>1</v>
      </c>
      <c r="F8" s="35" t="s">
        <v>22</v>
      </c>
      <c r="G8" s="29">
        <f t="shared" si="0"/>
        <v>4.671455938697318</v>
      </c>
      <c r="H8" s="36" t="s">
        <v>17</v>
      </c>
      <c r="I8" s="31">
        <v>24330</v>
      </c>
      <c r="J8" s="32">
        <v>0.09</v>
      </c>
      <c r="K8" s="35">
        <v>20</v>
      </c>
      <c r="L8" s="33">
        <f t="shared" si="1"/>
        <v>0.7931034482758621</v>
      </c>
      <c r="M8" s="37">
        <f>AVERAGE(11,14)</f>
        <v>12.5</v>
      </c>
      <c r="N8" s="34">
        <f t="shared" si="2"/>
        <v>0.7816091954022989</v>
      </c>
      <c r="O8" s="35">
        <v>2</v>
      </c>
      <c r="P8" s="33">
        <f t="shared" si="3"/>
        <v>0.77777777777777779</v>
      </c>
      <c r="Q8" s="31">
        <v>465</v>
      </c>
      <c r="R8" s="34">
        <f t="shared" si="4"/>
        <v>0.93103448275862066</v>
      </c>
      <c r="S8" s="31">
        <v>674.32896562500002</v>
      </c>
      <c r="T8" s="34">
        <f t="shared" si="5"/>
        <v>0.20689655172413793</v>
      </c>
      <c r="U8" s="35">
        <v>2</v>
      </c>
      <c r="V8" s="34">
        <v>0.75</v>
      </c>
      <c r="W8" s="35">
        <v>1</v>
      </c>
      <c r="X8" s="38">
        <v>1</v>
      </c>
      <c r="Y8" s="26"/>
    </row>
    <row r="9" spans="1:25" ht="15.75" customHeight="1" x14ac:dyDescent="0.15">
      <c r="A9" s="27" t="s">
        <v>27</v>
      </c>
      <c r="B9" s="27" t="s">
        <v>28</v>
      </c>
      <c r="C9" s="28">
        <v>3.26</v>
      </c>
      <c r="D9" s="27">
        <v>38</v>
      </c>
      <c r="E9" s="27">
        <v>1</v>
      </c>
      <c r="F9" s="27" t="s">
        <v>13</v>
      </c>
      <c r="G9" s="29">
        <f t="shared" si="0"/>
        <v>4.1312260536398462</v>
      </c>
      <c r="H9" s="30" t="s">
        <v>17</v>
      </c>
      <c r="I9" s="31">
        <v>21001</v>
      </c>
      <c r="J9" s="32">
        <v>0.36</v>
      </c>
      <c r="K9" s="27">
        <v>8</v>
      </c>
      <c r="L9" s="33">
        <f t="shared" si="1"/>
        <v>0.91954022988505746</v>
      </c>
      <c r="M9" s="29">
        <v>13</v>
      </c>
      <c r="N9" s="34">
        <f t="shared" si="2"/>
        <v>0.89655172413793105</v>
      </c>
      <c r="O9" s="27">
        <v>5</v>
      </c>
      <c r="P9" s="33">
        <f t="shared" si="3"/>
        <v>0.44444444444444442</v>
      </c>
      <c r="Q9" s="31">
        <v>740</v>
      </c>
      <c r="R9" s="34">
        <f t="shared" si="4"/>
        <v>0.56321839080459768</v>
      </c>
      <c r="S9" s="31">
        <v>324.43969499999997</v>
      </c>
      <c r="T9" s="34">
        <f t="shared" si="5"/>
        <v>0.67816091954022983</v>
      </c>
      <c r="U9" s="27">
        <v>2</v>
      </c>
      <c r="V9" s="34">
        <v>0.75</v>
      </c>
      <c r="W9" s="27">
        <v>2</v>
      </c>
      <c r="X9" s="32">
        <v>0.5</v>
      </c>
      <c r="Y9" s="26"/>
    </row>
    <row r="10" spans="1:25" ht="15.75" customHeight="1" x14ac:dyDescent="0.15">
      <c r="A10" s="27" t="s">
        <v>29</v>
      </c>
      <c r="B10" s="27" t="s">
        <v>11</v>
      </c>
      <c r="C10" s="28">
        <v>3.25</v>
      </c>
      <c r="D10" s="27">
        <v>60</v>
      </c>
      <c r="E10" s="27">
        <v>2</v>
      </c>
      <c r="F10" s="27" t="s">
        <v>13</v>
      </c>
      <c r="G10" s="29">
        <f t="shared" si="0"/>
        <v>3.627394636015326</v>
      </c>
      <c r="H10" s="30" t="s">
        <v>12</v>
      </c>
      <c r="I10" s="31">
        <v>20395</v>
      </c>
      <c r="J10" s="32">
        <v>0.43</v>
      </c>
      <c r="K10" s="27">
        <v>10</v>
      </c>
      <c r="L10" s="33">
        <f t="shared" si="1"/>
        <v>0.89655172413793105</v>
      </c>
      <c r="M10" s="29">
        <v>11.67</v>
      </c>
      <c r="N10" s="34">
        <f t="shared" si="2"/>
        <v>0.55172413793103448</v>
      </c>
      <c r="O10" s="27">
        <v>1</v>
      </c>
      <c r="P10" s="33">
        <f t="shared" si="3"/>
        <v>0.88888888888888884</v>
      </c>
      <c r="Q10" s="31">
        <v>530</v>
      </c>
      <c r="R10" s="34">
        <f t="shared" si="4"/>
        <v>0.85057471264367812</v>
      </c>
      <c r="S10" s="31">
        <v>466.38206156249998</v>
      </c>
      <c r="T10" s="34">
        <f t="shared" si="5"/>
        <v>0.22988505747126436</v>
      </c>
      <c r="U10" s="27">
        <v>2</v>
      </c>
      <c r="V10" s="34">
        <v>0.75</v>
      </c>
      <c r="W10" s="27">
        <v>3</v>
      </c>
      <c r="X10" s="32">
        <v>0</v>
      </c>
      <c r="Y10" s="26"/>
    </row>
    <row r="11" spans="1:25" ht="15.75" customHeight="1" x14ac:dyDescent="0.15">
      <c r="A11" s="27" t="s">
        <v>31</v>
      </c>
      <c r="B11" s="27" t="s">
        <v>32</v>
      </c>
      <c r="C11" s="28">
        <v>3.22</v>
      </c>
      <c r="D11" s="27">
        <v>16</v>
      </c>
      <c r="E11" s="27">
        <v>2</v>
      </c>
      <c r="F11" s="27" t="s">
        <v>33</v>
      </c>
      <c r="G11" s="29">
        <f t="shared" si="0"/>
        <v>4.7241379310344831</v>
      </c>
      <c r="H11" s="30" t="s">
        <v>12</v>
      </c>
      <c r="I11" s="31">
        <v>22049</v>
      </c>
      <c r="J11" s="32">
        <v>0.2</v>
      </c>
      <c r="K11" s="27">
        <v>45</v>
      </c>
      <c r="L11" s="33">
        <f t="shared" si="1"/>
        <v>0.44827586206896552</v>
      </c>
      <c r="M11" s="29">
        <v>12.58</v>
      </c>
      <c r="N11" s="34">
        <f t="shared" si="2"/>
        <v>0.82758620689655171</v>
      </c>
      <c r="O11" s="27">
        <v>0</v>
      </c>
      <c r="P11" s="33">
        <f t="shared" si="3"/>
        <v>1</v>
      </c>
      <c r="Q11" s="31">
        <v>650</v>
      </c>
      <c r="R11" s="34">
        <f t="shared" si="4"/>
        <v>0.66666666666666663</v>
      </c>
      <c r="S11" s="31">
        <v>466.38206156249998</v>
      </c>
      <c r="T11" s="34">
        <f t="shared" si="5"/>
        <v>0.22988505747126436</v>
      </c>
      <c r="U11" s="35">
        <v>3</v>
      </c>
      <c r="V11" s="34">
        <v>1</v>
      </c>
      <c r="W11" s="35">
        <v>1</v>
      </c>
      <c r="X11" s="34">
        <f>100%</f>
        <v>1</v>
      </c>
      <c r="Y11" s="26"/>
    </row>
    <row r="12" spans="1:25" ht="15.75" customHeight="1" x14ac:dyDescent="0.15">
      <c r="A12" s="35" t="s">
        <v>30</v>
      </c>
      <c r="B12" s="35" t="s">
        <v>11</v>
      </c>
      <c r="C12" s="28">
        <v>3.22</v>
      </c>
      <c r="D12" s="35">
        <v>20</v>
      </c>
      <c r="E12" s="27">
        <v>1</v>
      </c>
      <c r="F12" s="35" t="s">
        <v>13</v>
      </c>
      <c r="G12" s="29">
        <f t="shared" si="0"/>
        <v>4.4731800766283527</v>
      </c>
      <c r="H12" s="36" t="s">
        <v>17</v>
      </c>
      <c r="I12" s="31">
        <v>21006</v>
      </c>
      <c r="J12" s="32">
        <v>0.34</v>
      </c>
      <c r="K12" s="35">
        <v>6</v>
      </c>
      <c r="L12" s="33">
        <f t="shared" si="1"/>
        <v>0.94252873563218387</v>
      </c>
      <c r="M12" s="37">
        <v>12.53</v>
      </c>
      <c r="N12" s="34">
        <f t="shared" si="2"/>
        <v>0.8045977011494253</v>
      </c>
      <c r="O12" s="35">
        <v>5</v>
      </c>
      <c r="P12" s="33">
        <f t="shared" si="3"/>
        <v>0.44444444444444442</v>
      </c>
      <c r="Q12" s="31">
        <v>465</v>
      </c>
      <c r="R12" s="34">
        <f t="shared" si="4"/>
        <v>0.93103448275862066</v>
      </c>
      <c r="S12" s="31">
        <v>404.597379375</v>
      </c>
      <c r="T12" s="34">
        <f t="shared" si="5"/>
        <v>0.63218390804597702</v>
      </c>
      <c r="U12" s="35">
        <v>1</v>
      </c>
      <c r="V12" s="34">
        <v>0.5</v>
      </c>
      <c r="W12" s="35">
        <v>1</v>
      </c>
      <c r="X12" s="38">
        <v>1</v>
      </c>
      <c r="Y12" s="26"/>
    </row>
    <row r="13" spans="1:25" ht="15.75" customHeight="1" x14ac:dyDescent="0.15">
      <c r="A13" s="27" t="s">
        <v>34</v>
      </c>
      <c r="B13" s="27" t="s">
        <v>35</v>
      </c>
      <c r="C13" s="28">
        <v>3.21</v>
      </c>
      <c r="D13" s="27">
        <v>62</v>
      </c>
      <c r="E13" s="27">
        <v>1</v>
      </c>
      <c r="F13" s="27" t="s">
        <v>36</v>
      </c>
      <c r="G13" s="29">
        <f t="shared" si="0"/>
        <v>4.5814176245210732</v>
      </c>
      <c r="H13" s="30" t="s">
        <v>17</v>
      </c>
      <c r="I13" s="31">
        <v>22031</v>
      </c>
      <c r="J13" s="32">
        <v>0.21</v>
      </c>
      <c r="K13" s="27">
        <v>68</v>
      </c>
      <c r="L13" s="33">
        <f t="shared" si="1"/>
        <v>0.14942528735632185</v>
      </c>
      <c r="M13" s="29">
        <v>13.92</v>
      </c>
      <c r="N13" s="34">
        <f t="shared" si="2"/>
        <v>0.96551724137931039</v>
      </c>
      <c r="O13" s="27">
        <v>1</v>
      </c>
      <c r="P13" s="33">
        <f t="shared" si="3"/>
        <v>0.88888888888888884</v>
      </c>
      <c r="Q13" s="31">
        <v>350</v>
      </c>
      <c r="R13" s="34">
        <f t="shared" si="4"/>
        <v>0.97701149425287359</v>
      </c>
      <c r="S13" s="31">
        <v>324.43969499999997</v>
      </c>
      <c r="T13" s="34">
        <f t="shared" si="5"/>
        <v>0.67816091954022983</v>
      </c>
      <c r="U13" s="27">
        <v>2</v>
      </c>
      <c r="V13" s="34">
        <v>0.75</v>
      </c>
      <c r="W13" s="27">
        <v>1</v>
      </c>
      <c r="X13" s="34">
        <f>100%</f>
        <v>1</v>
      </c>
      <c r="Y13" s="26"/>
    </row>
    <row r="14" spans="1:25" ht="15.75" customHeight="1" x14ac:dyDescent="0.15">
      <c r="A14" s="27" t="s">
        <v>37</v>
      </c>
      <c r="B14" s="27" t="s">
        <v>28</v>
      </c>
      <c r="C14" s="28">
        <v>3.2</v>
      </c>
      <c r="D14" s="27">
        <v>139</v>
      </c>
      <c r="E14" s="27">
        <v>1</v>
      </c>
      <c r="F14" s="27" t="s">
        <v>18</v>
      </c>
      <c r="G14" s="29">
        <f t="shared" si="0"/>
        <v>4.0718390804597702</v>
      </c>
      <c r="H14" s="30" t="s">
        <v>17</v>
      </c>
      <c r="I14" s="31">
        <v>18333</v>
      </c>
      <c r="J14" s="32">
        <v>0.72</v>
      </c>
      <c r="K14" s="27">
        <v>37</v>
      </c>
      <c r="L14" s="33">
        <f t="shared" si="1"/>
        <v>0.56321839080459768</v>
      </c>
      <c r="M14" s="29">
        <v>11.42</v>
      </c>
      <c r="N14" s="34">
        <f t="shared" si="2"/>
        <v>0.47126436781609193</v>
      </c>
      <c r="O14" s="27">
        <v>0</v>
      </c>
      <c r="P14" s="33">
        <f t="shared" si="3"/>
        <v>1</v>
      </c>
      <c r="Q14" s="31">
        <v>510</v>
      </c>
      <c r="R14" s="34">
        <f t="shared" si="4"/>
        <v>0.89655172413793105</v>
      </c>
      <c r="S14" s="31">
        <v>324.43969499999997</v>
      </c>
      <c r="T14" s="34">
        <f t="shared" si="5"/>
        <v>0.67816091954022983</v>
      </c>
      <c r="U14" s="27">
        <v>2</v>
      </c>
      <c r="V14" s="34">
        <v>0.75</v>
      </c>
      <c r="W14" s="27">
        <v>2</v>
      </c>
      <c r="X14" s="32">
        <v>0.5</v>
      </c>
      <c r="Y14" s="39"/>
    </row>
    <row r="15" spans="1:25" ht="15.75" customHeight="1" x14ac:dyDescent="0.15">
      <c r="A15" s="27" t="s">
        <v>38</v>
      </c>
      <c r="B15" s="27" t="s">
        <v>39</v>
      </c>
      <c r="C15" s="28">
        <v>3.19</v>
      </c>
      <c r="D15" s="27">
        <v>9</v>
      </c>
      <c r="E15" s="27">
        <v>1</v>
      </c>
      <c r="F15" s="27" t="s">
        <v>33</v>
      </c>
      <c r="G15" s="29">
        <f t="shared" si="0"/>
        <v>3.5680076628352491</v>
      </c>
      <c r="H15" s="30" t="s">
        <v>17</v>
      </c>
      <c r="I15" s="31">
        <v>20113</v>
      </c>
      <c r="J15" s="32">
        <v>0.49</v>
      </c>
      <c r="K15" s="27">
        <v>49</v>
      </c>
      <c r="L15" s="33">
        <f t="shared" si="1"/>
        <v>0.36781609195402298</v>
      </c>
      <c r="M15" s="29">
        <v>12.63</v>
      </c>
      <c r="N15" s="34">
        <f t="shared" si="2"/>
        <v>0.85057471264367812</v>
      </c>
      <c r="O15" s="27">
        <v>2</v>
      </c>
      <c r="P15" s="33">
        <f t="shared" si="3"/>
        <v>0.77777777777777779</v>
      </c>
      <c r="Q15" s="31">
        <v>422.5</v>
      </c>
      <c r="R15" s="34">
        <f t="shared" si="4"/>
        <v>0.96551724137931039</v>
      </c>
      <c r="S15" s="31">
        <v>324.43969499999997</v>
      </c>
      <c r="T15" s="34">
        <f t="shared" si="5"/>
        <v>0.67816091954022983</v>
      </c>
      <c r="U15" s="27">
        <v>2</v>
      </c>
      <c r="V15" s="34">
        <v>0.75</v>
      </c>
      <c r="W15" s="27">
        <v>3</v>
      </c>
      <c r="X15" s="32">
        <v>0</v>
      </c>
      <c r="Y15" s="26"/>
    </row>
    <row r="16" spans="1:25" ht="15.75" customHeight="1" x14ac:dyDescent="0.15">
      <c r="A16" s="35" t="s">
        <v>40</v>
      </c>
      <c r="B16" s="35" t="s">
        <v>16</v>
      </c>
      <c r="C16" s="28">
        <v>3.19</v>
      </c>
      <c r="D16" s="35">
        <v>12</v>
      </c>
      <c r="E16" s="27">
        <v>1</v>
      </c>
      <c r="F16" s="35" t="s">
        <v>22</v>
      </c>
      <c r="G16" s="29">
        <f t="shared" si="0"/>
        <v>4.0680076628352495</v>
      </c>
      <c r="H16" s="36" t="s">
        <v>17</v>
      </c>
      <c r="I16" s="31">
        <v>20087</v>
      </c>
      <c r="J16" s="32">
        <v>0.51</v>
      </c>
      <c r="K16" s="35">
        <v>12</v>
      </c>
      <c r="L16" s="33">
        <f t="shared" si="1"/>
        <v>0.87356321839080464</v>
      </c>
      <c r="M16" s="37">
        <v>11.81</v>
      </c>
      <c r="N16" s="34">
        <f t="shared" si="2"/>
        <v>0.56321839080459768</v>
      </c>
      <c r="O16" s="35">
        <v>2</v>
      </c>
      <c r="P16" s="33">
        <f t="shared" si="3"/>
        <v>0.77777777777777779</v>
      </c>
      <c r="Q16" s="31">
        <v>714.5</v>
      </c>
      <c r="R16" s="34">
        <f t="shared" si="4"/>
        <v>0.57471264367816088</v>
      </c>
      <c r="S16" s="31">
        <v>404.597379375</v>
      </c>
      <c r="T16" s="34">
        <f t="shared" si="5"/>
        <v>0.63218390804597702</v>
      </c>
      <c r="U16" s="35">
        <v>2</v>
      </c>
      <c r="V16" s="34">
        <v>0.75</v>
      </c>
      <c r="W16" s="35">
        <v>2</v>
      </c>
      <c r="X16" s="38">
        <v>0.5</v>
      </c>
      <c r="Y16" s="26"/>
    </row>
    <row r="17" spans="1:25" ht="15.75" customHeight="1" x14ac:dyDescent="0.15">
      <c r="A17" s="35" t="s">
        <v>41</v>
      </c>
      <c r="B17" s="35" t="s">
        <v>28</v>
      </c>
      <c r="C17" s="28">
        <v>3.15</v>
      </c>
      <c r="D17" s="35">
        <v>14</v>
      </c>
      <c r="E17" s="27">
        <v>1</v>
      </c>
      <c r="F17" s="35" t="s">
        <v>36</v>
      </c>
      <c r="G17" s="29">
        <f t="shared" si="0"/>
        <v>3.5296934865900385</v>
      </c>
      <c r="H17" s="36" t="s">
        <v>17</v>
      </c>
      <c r="I17" s="31">
        <v>26250</v>
      </c>
      <c r="J17" s="32">
        <v>0.02</v>
      </c>
      <c r="K17" s="35">
        <v>67</v>
      </c>
      <c r="L17" s="33">
        <f t="shared" si="1"/>
        <v>0.16091954022988506</v>
      </c>
      <c r="M17" s="37">
        <f>AVERAGE(15,18)</f>
        <v>16.5</v>
      </c>
      <c r="N17" s="34">
        <f t="shared" si="2"/>
        <v>1</v>
      </c>
      <c r="O17" s="35">
        <v>1</v>
      </c>
      <c r="P17" s="33">
        <f t="shared" si="3"/>
        <v>0.88888888888888884</v>
      </c>
      <c r="Q17" s="31">
        <v>587.5</v>
      </c>
      <c r="R17" s="34">
        <f t="shared" si="4"/>
        <v>0.7816091954022989</v>
      </c>
      <c r="S17" s="31">
        <v>324.43969499999997</v>
      </c>
      <c r="T17" s="34">
        <f t="shared" si="5"/>
        <v>0.67816091954022983</v>
      </c>
      <c r="U17" s="35">
        <v>2</v>
      </c>
      <c r="V17" s="34">
        <v>0.75</v>
      </c>
      <c r="W17" s="35">
        <v>3</v>
      </c>
      <c r="X17" s="38">
        <v>0</v>
      </c>
      <c r="Y17" s="26"/>
    </row>
    <row r="18" spans="1:25" ht="15.75" customHeight="1" x14ac:dyDescent="0.15">
      <c r="A18" s="27" t="s">
        <v>43</v>
      </c>
      <c r="B18" s="27" t="s">
        <v>39</v>
      </c>
      <c r="C18" s="28">
        <v>3.11</v>
      </c>
      <c r="D18" s="27">
        <v>57</v>
      </c>
      <c r="E18" s="27">
        <v>2</v>
      </c>
      <c r="F18" s="27" t="s">
        <v>33</v>
      </c>
      <c r="G18" s="29">
        <f t="shared" si="0"/>
        <v>3.985632183908046</v>
      </c>
      <c r="H18" s="30" t="s">
        <v>12</v>
      </c>
      <c r="I18" s="31">
        <v>20976</v>
      </c>
      <c r="J18" s="32">
        <v>0.38</v>
      </c>
      <c r="K18" s="27">
        <v>51</v>
      </c>
      <c r="L18" s="33">
        <f t="shared" si="1"/>
        <v>0.34482758620689657</v>
      </c>
      <c r="M18" s="29">
        <v>12.87</v>
      </c>
      <c r="N18" s="34">
        <f t="shared" si="2"/>
        <v>0.87356321839080464</v>
      </c>
      <c r="O18" s="27">
        <v>0</v>
      </c>
      <c r="P18" s="33">
        <f t="shared" si="3"/>
        <v>1</v>
      </c>
      <c r="Q18" s="31">
        <v>915</v>
      </c>
      <c r="R18" s="34">
        <f t="shared" si="4"/>
        <v>0.35632183908045978</v>
      </c>
      <c r="S18" s="31">
        <v>324.43969499999997</v>
      </c>
      <c r="T18" s="34">
        <f t="shared" si="5"/>
        <v>0.67816091954022983</v>
      </c>
      <c r="U18" s="27">
        <v>2</v>
      </c>
      <c r="V18" s="34">
        <v>0.75</v>
      </c>
      <c r="W18" s="27">
        <v>2</v>
      </c>
      <c r="X18" s="32">
        <v>0.5</v>
      </c>
      <c r="Y18" s="26"/>
    </row>
    <row r="19" spans="1:25" ht="15.75" customHeight="1" x14ac:dyDescent="0.15">
      <c r="A19" s="27" t="s">
        <v>42</v>
      </c>
      <c r="B19" s="27" t="s">
        <v>16</v>
      </c>
      <c r="C19" s="28">
        <v>3.11</v>
      </c>
      <c r="D19" s="27">
        <v>121</v>
      </c>
      <c r="E19" s="27">
        <v>1</v>
      </c>
      <c r="F19" s="27" t="s">
        <v>18</v>
      </c>
      <c r="G19" s="29">
        <f t="shared" si="0"/>
        <v>3.985632183908046</v>
      </c>
      <c r="H19" s="30" t="s">
        <v>17</v>
      </c>
      <c r="I19" s="31">
        <v>17892</v>
      </c>
      <c r="J19" s="32">
        <v>0.76</v>
      </c>
      <c r="K19" s="27">
        <v>34</v>
      </c>
      <c r="L19" s="33">
        <f t="shared" si="1"/>
        <v>0.64367816091954022</v>
      </c>
      <c r="M19" s="29">
        <v>11.05</v>
      </c>
      <c r="N19" s="34">
        <f t="shared" si="2"/>
        <v>0.40229885057471265</v>
      </c>
      <c r="O19" s="27">
        <v>0</v>
      </c>
      <c r="P19" s="33">
        <f t="shared" si="3"/>
        <v>1</v>
      </c>
      <c r="Q19" s="31">
        <v>640</v>
      </c>
      <c r="R19" s="34">
        <f t="shared" si="4"/>
        <v>0.70114942528735635</v>
      </c>
      <c r="S19" s="31">
        <v>324.43969499999997</v>
      </c>
      <c r="T19" s="34">
        <f t="shared" si="5"/>
        <v>0.67816091954022983</v>
      </c>
      <c r="U19" s="27">
        <v>2</v>
      </c>
      <c r="V19" s="34">
        <v>0.75</v>
      </c>
      <c r="W19" s="27">
        <v>2</v>
      </c>
      <c r="X19" s="32">
        <v>0.5</v>
      </c>
      <c r="Y19" s="26"/>
    </row>
    <row r="20" spans="1:25" ht="15.75" customHeight="1" x14ac:dyDescent="0.15">
      <c r="A20" s="27" t="s">
        <v>44</v>
      </c>
      <c r="B20" s="27" t="s">
        <v>21</v>
      </c>
      <c r="C20" s="28">
        <v>3.09</v>
      </c>
      <c r="D20" s="27">
        <v>29</v>
      </c>
      <c r="E20" s="27">
        <v>2</v>
      </c>
      <c r="F20" s="27" t="s">
        <v>22</v>
      </c>
      <c r="G20" s="29">
        <f t="shared" si="0"/>
        <v>4.4664750957854409</v>
      </c>
      <c r="H20" s="30" t="s">
        <v>12</v>
      </c>
      <c r="I20" s="31">
        <v>21946</v>
      </c>
      <c r="J20" s="32">
        <v>0.24</v>
      </c>
      <c r="K20" s="27">
        <v>13</v>
      </c>
      <c r="L20" s="33">
        <f t="shared" si="1"/>
        <v>0.86206896551724133</v>
      </c>
      <c r="M20" s="29">
        <v>12.54</v>
      </c>
      <c r="N20" s="34">
        <f t="shared" si="2"/>
        <v>0.81609195402298851</v>
      </c>
      <c r="O20" s="27">
        <v>4</v>
      </c>
      <c r="P20" s="33">
        <f t="shared" si="3"/>
        <v>0.55555555555555558</v>
      </c>
      <c r="Q20" s="31">
        <v>615</v>
      </c>
      <c r="R20" s="34">
        <f t="shared" si="4"/>
        <v>0.73563218390804597</v>
      </c>
      <c r="S20" s="31">
        <v>466.38206156249998</v>
      </c>
      <c r="T20" s="34">
        <f t="shared" si="5"/>
        <v>0.22988505747126436</v>
      </c>
      <c r="U20" s="27">
        <v>2</v>
      </c>
      <c r="V20" s="34">
        <v>0.75</v>
      </c>
      <c r="W20" s="27">
        <v>1</v>
      </c>
      <c r="X20" s="34">
        <f t="shared" ref="X20:X21" si="7">100%</f>
        <v>1</v>
      </c>
      <c r="Y20" s="26"/>
    </row>
    <row r="21" spans="1:25" ht="15.75" customHeight="1" x14ac:dyDescent="0.15">
      <c r="A21" s="27" t="s">
        <v>45</v>
      </c>
      <c r="B21" s="27" t="s">
        <v>16</v>
      </c>
      <c r="C21" s="28">
        <v>3.08</v>
      </c>
      <c r="D21" s="27">
        <v>35</v>
      </c>
      <c r="E21" s="27">
        <v>1</v>
      </c>
      <c r="F21" s="27" t="s">
        <v>33</v>
      </c>
      <c r="G21" s="29">
        <f t="shared" si="0"/>
        <v>4.4511494252873565</v>
      </c>
      <c r="H21" s="30" t="s">
        <v>17</v>
      </c>
      <c r="I21" s="31">
        <v>20490</v>
      </c>
      <c r="J21" s="32">
        <v>0.41</v>
      </c>
      <c r="K21" s="27">
        <v>47</v>
      </c>
      <c r="L21" s="33">
        <f t="shared" si="1"/>
        <v>0.41379310344827586</v>
      </c>
      <c r="M21" s="29">
        <v>12.8</v>
      </c>
      <c r="N21" s="34">
        <f t="shared" si="2"/>
        <v>0.86206896551724133</v>
      </c>
      <c r="O21" s="27">
        <v>3</v>
      </c>
      <c r="P21" s="33">
        <f t="shared" si="3"/>
        <v>0.66666666666666674</v>
      </c>
      <c r="Q21" s="31">
        <v>537.5</v>
      </c>
      <c r="R21" s="34">
        <f t="shared" si="4"/>
        <v>0.83908045977011492</v>
      </c>
      <c r="S21" s="31">
        <v>324.43969499999997</v>
      </c>
      <c r="T21" s="34">
        <f t="shared" si="5"/>
        <v>0.67816091954022983</v>
      </c>
      <c r="U21" s="27">
        <v>2</v>
      </c>
      <c r="V21" s="34">
        <v>0.75</v>
      </c>
      <c r="W21" s="27">
        <v>1</v>
      </c>
      <c r="X21" s="34">
        <f t="shared" si="7"/>
        <v>1</v>
      </c>
      <c r="Y21" s="26"/>
    </row>
    <row r="22" spans="1:25" ht="15.75" customHeight="1" x14ac:dyDescent="0.15">
      <c r="A22" s="27" t="s">
        <v>46</v>
      </c>
      <c r="B22" s="27" t="s">
        <v>16</v>
      </c>
      <c r="C22" s="28">
        <v>3.07</v>
      </c>
      <c r="D22" s="27">
        <v>134</v>
      </c>
      <c r="E22" s="27">
        <v>1</v>
      </c>
      <c r="F22" s="27" t="s">
        <v>33</v>
      </c>
      <c r="G22" s="29">
        <f t="shared" si="0"/>
        <v>3.9473180076628349</v>
      </c>
      <c r="H22" s="30" t="s">
        <v>17</v>
      </c>
      <c r="I22" s="31">
        <v>22107</v>
      </c>
      <c r="J22" s="32">
        <v>0.17</v>
      </c>
      <c r="K22" s="27">
        <v>40</v>
      </c>
      <c r="L22" s="33">
        <f t="shared" si="1"/>
        <v>0.54022988505747127</v>
      </c>
      <c r="M22" s="29">
        <v>13.51</v>
      </c>
      <c r="N22" s="34">
        <f t="shared" si="2"/>
        <v>0.93103448275862066</v>
      </c>
      <c r="O22" s="27">
        <v>2</v>
      </c>
      <c r="P22" s="33">
        <f t="shared" si="3"/>
        <v>0.77777777777777779</v>
      </c>
      <c r="Q22" s="31">
        <v>1058.3333333333301</v>
      </c>
      <c r="R22" s="34">
        <f t="shared" si="4"/>
        <v>0.21839080459770116</v>
      </c>
      <c r="S22" s="31">
        <v>324.43969499999997</v>
      </c>
      <c r="T22" s="34">
        <f t="shared" si="5"/>
        <v>0.67816091954022983</v>
      </c>
      <c r="U22" s="40">
        <v>2</v>
      </c>
      <c r="V22" s="34">
        <v>0.75</v>
      </c>
      <c r="W22" s="40">
        <v>2</v>
      </c>
      <c r="X22" s="32">
        <v>0.5</v>
      </c>
      <c r="Y22" s="39"/>
    </row>
    <row r="23" spans="1:25" ht="15.75" customHeight="1" x14ac:dyDescent="0.15">
      <c r="A23" s="27" t="s">
        <v>47</v>
      </c>
      <c r="B23" s="27" t="s">
        <v>35</v>
      </c>
      <c r="C23" s="28">
        <v>3.04</v>
      </c>
      <c r="D23" s="27">
        <v>8</v>
      </c>
      <c r="E23" s="27">
        <v>2</v>
      </c>
      <c r="F23" s="27" t="s">
        <v>13</v>
      </c>
      <c r="G23" s="29">
        <f t="shared" si="0"/>
        <v>3.9185823754789273</v>
      </c>
      <c r="H23" s="30" t="s">
        <v>12</v>
      </c>
      <c r="I23" s="31">
        <v>21237</v>
      </c>
      <c r="J23" s="32">
        <v>0.31</v>
      </c>
      <c r="K23" s="27">
        <v>2</v>
      </c>
      <c r="L23" s="33">
        <f t="shared" si="1"/>
        <v>0.9885057471264368</v>
      </c>
      <c r="M23" s="29">
        <v>11.95</v>
      </c>
      <c r="N23" s="34">
        <f t="shared" si="2"/>
        <v>0.5977011494252874</v>
      </c>
      <c r="O23" s="27">
        <v>2</v>
      </c>
      <c r="P23" s="33">
        <f t="shared" si="3"/>
        <v>0.77777777777777779</v>
      </c>
      <c r="Q23" s="31">
        <v>900</v>
      </c>
      <c r="R23" s="34">
        <f t="shared" si="4"/>
        <v>0.37931034482758619</v>
      </c>
      <c r="S23" s="31">
        <v>466.38206156249998</v>
      </c>
      <c r="T23" s="34">
        <f t="shared" si="5"/>
        <v>0.22988505747126436</v>
      </c>
      <c r="U23" s="27">
        <v>2</v>
      </c>
      <c r="V23" s="34">
        <v>0.75</v>
      </c>
      <c r="W23" s="27">
        <v>2</v>
      </c>
      <c r="X23" s="32">
        <v>0.5</v>
      </c>
      <c r="Y23" s="26"/>
    </row>
    <row r="24" spans="1:25" ht="15.75" customHeight="1" x14ac:dyDescent="0.15">
      <c r="A24" s="27" t="s">
        <v>51</v>
      </c>
      <c r="B24" s="27" t="s">
        <v>21</v>
      </c>
      <c r="C24" s="28">
        <v>3.03</v>
      </c>
      <c r="D24" s="27">
        <v>115</v>
      </c>
      <c r="E24" s="27">
        <v>3</v>
      </c>
      <c r="F24" s="27" t="s">
        <v>33</v>
      </c>
      <c r="G24" s="29">
        <f t="shared" si="0"/>
        <v>4.4032567049808433</v>
      </c>
      <c r="H24" s="30" t="s">
        <v>50</v>
      </c>
      <c r="I24" s="31">
        <v>24445</v>
      </c>
      <c r="J24" s="32">
        <v>0.08</v>
      </c>
      <c r="K24" s="27">
        <v>43</v>
      </c>
      <c r="L24" s="33">
        <f t="shared" si="1"/>
        <v>0.4942528735632184</v>
      </c>
      <c r="M24" s="29">
        <v>12.42</v>
      </c>
      <c r="N24" s="34">
        <f t="shared" si="2"/>
        <v>0.74712643678160917</v>
      </c>
      <c r="O24" s="27">
        <v>1</v>
      </c>
      <c r="P24" s="33">
        <f t="shared" si="3"/>
        <v>0.88888888888888884</v>
      </c>
      <c r="Q24" s="31">
        <v>293.75</v>
      </c>
      <c r="R24" s="34">
        <f t="shared" si="4"/>
        <v>0.9885057471264368</v>
      </c>
      <c r="S24" s="31">
        <v>709.71183281250001</v>
      </c>
      <c r="T24" s="34">
        <f t="shared" si="5"/>
        <v>5.7471264367816091E-2</v>
      </c>
      <c r="U24" s="27">
        <v>2</v>
      </c>
      <c r="V24" s="34">
        <v>0.75</v>
      </c>
      <c r="W24" s="27">
        <v>1</v>
      </c>
      <c r="X24" s="34">
        <f>100%</f>
        <v>1</v>
      </c>
      <c r="Y24" s="26"/>
    </row>
    <row r="25" spans="1:25" ht="15.75" customHeight="1" x14ac:dyDescent="0.15">
      <c r="A25" s="35" t="s">
        <v>49</v>
      </c>
      <c r="B25" s="35" t="s">
        <v>21</v>
      </c>
      <c r="C25" s="28">
        <v>3.03</v>
      </c>
      <c r="D25" s="35">
        <v>15</v>
      </c>
      <c r="E25" s="27">
        <v>3</v>
      </c>
      <c r="F25" s="35" t="s">
        <v>22</v>
      </c>
      <c r="G25" s="29">
        <f t="shared" si="0"/>
        <v>4.4090038314176248</v>
      </c>
      <c r="H25" s="36" t="s">
        <v>50</v>
      </c>
      <c r="I25" s="31">
        <v>25842</v>
      </c>
      <c r="J25" s="32">
        <v>0.03</v>
      </c>
      <c r="K25" s="35">
        <v>17</v>
      </c>
      <c r="L25" s="33">
        <f t="shared" si="1"/>
        <v>0.83908045977011492</v>
      </c>
      <c r="M25" s="37">
        <v>11.46</v>
      </c>
      <c r="N25" s="34">
        <f t="shared" si="2"/>
        <v>0.4942528735632184</v>
      </c>
      <c r="O25" s="35">
        <v>1</v>
      </c>
      <c r="P25" s="33">
        <f t="shared" si="3"/>
        <v>0.88888888888888884</v>
      </c>
      <c r="Q25" s="31">
        <v>545</v>
      </c>
      <c r="R25" s="34">
        <f t="shared" si="4"/>
        <v>0.82758620689655171</v>
      </c>
      <c r="S25" s="31">
        <v>971.03371049999998</v>
      </c>
      <c r="T25" s="34">
        <f t="shared" si="5"/>
        <v>4.5977011494252873E-2</v>
      </c>
      <c r="U25" s="35">
        <v>2</v>
      </c>
      <c r="V25" s="34">
        <v>0.75</v>
      </c>
      <c r="W25" s="35">
        <v>1</v>
      </c>
      <c r="X25" s="38">
        <v>1</v>
      </c>
      <c r="Y25" s="26"/>
    </row>
    <row r="26" spans="1:25" ht="15.75" customHeight="1" x14ac:dyDescent="0.15">
      <c r="A26" s="27" t="s">
        <v>48</v>
      </c>
      <c r="B26" s="27" t="s">
        <v>35</v>
      </c>
      <c r="C26" s="28">
        <v>3.03</v>
      </c>
      <c r="D26" s="27">
        <v>39</v>
      </c>
      <c r="E26" s="27">
        <v>1</v>
      </c>
      <c r="F26" s="27" t="s">
        <v>33</v>
      </c>
      <c r="G26" s="29">
        <f t="shared" si="0"/>
        <v>4.2758620689655169</v>
      </c>
      <c r="H26" s="30" t="s">
        <v>17</v>
      </c>
      <c r="I26" s="31">
        <v>19735</v>
      </c>
      <c r="J26" s="32">
        <v>0.54</v>
      </c>
      <c r="K26" s="27">
        <v>45</v>
      </c>
      <c r="L26" s="33">
        <f t="shared" si="1"/>
        <v>0.44827586206896552</v>
      </c>
      <c r="M26" s="29">
        <v>12.21</v>
      </c>
      <c r="N26" s="34">
        <f t="shared" si="2"/>
        <v>0.67816091954022983</v>
      </c>
      <c r="O26" s="27">
        <v>0</v>
      </c>
      <c r="P26" s="33">
        <f t="shared" si="3"/>
        <v>1</v>
      </c>
      <c r="Q26" s="31">
        <v>692.5</v>
      </c>
      <c r="R26" s="34">
        <f t="shared" si="4"/>
        <v>0.62068965517241381</v>
      </c>
      <c r="S26" s="31">
        <v>324.43969499999997</v>
      </c>
      <c r="T26" s="34">
        <f t="shared" si="5"/>
        <v>0.67816091954022983</v>
      </c>
      <c r="U26" s="27">
        <v>1</v>
      </c>
      <c r="V26" s="34">
        <v>0.5</v>
      </c>
      <c r="W26" s="27">
        <v>1</v>
      </c>
      <c r="X26" s="34">
        <f t="shared" ref="X26:X28" si="8">100%</f>
        <v>1</v>
      </c>
      <c r="Y26" s="26"/>
    </row>
    <row r="27" spans="1:25" ht="15.75" customHeight="1" x14ac:dyDescent="0.15">
      <c r="A27" s="27" t="s">
        <v>52</v>
      </c>
      <c r="B27" s="27" t="s">
        <v>35</v>
      </c>
      <c r="C27" s="28">
        <v>3.02</v>
      </c>
      <c r="D27" s="27">
        <v>114</v>
      </c>
      <c r="E27" s="27">
        <v>1</v>
      </c>
      <c r="F27" s="27" t="s">
        <v>33</v>
      </c>
      <c r="G27" s="29">
        <f t="shared" si="0"/>
        <v>4.3994252873563218</v>
      </c>
      <c r="H27" s="30" t="s">
        <v>17</v>
      </c>
      <c r="I27" s="31">
        <v>25549</v>
      </c>
      <c r="J27" s="32">
        <v>0.05</v>
      </c>
      <c r="K27" s="27">
        <v>46</v>
      </c>
      <c r="L27" s="33">
        <f t="shared" si="1"/>
        <v>0.42528735632183906</v>
      </c>
      <c r="M27" s="29">
        <v>14.42</v>
      </c>
      <c r="N27" s="34">
        <f t="shared" si="2"/>
        <v>0.9885057471264368</v>
      </c>
      <c r="O27" s="27">
        <v>0</v>
      </c>
      <c r="P27" s="33">
        <f t="shared" si="3"/>
        <v>1</v>
      </c>
      <c r="Q27" s="31">
        <v>1050</v>
      </c>
      <c r="R27" s="34">
        <f t="shared" si="4"/>
        <v>0.2413793103448276</v>
      </c>
      <c r="S27" s="31">
        <v>466.38206156249998</v>
      </c>
      <c r="T27" s="34">
        <f t="shared" si="5"/>
        <v>0.22988505747126436</v>
      </c>
      <c r="U27" s="27">
        <v>2</v>
      </c>
      <c r="V27" s="34">
        <v>0.75</v>
      </c>
      <c r="W27" s="27">
        <v>1</v>
      </c>
      <c r="X27" s="34">
        <f t="shared" si="8"/>
        <v>1</v>
      </c>
      <c r="Y27" s="26"/>
    </row>
    <row r="28" spans="1:25" ht="15.75" customHeight="1" x14ac:dyDescent="0.15">
      <c r="A28" s="27" t="s">
        <v>53</v>
      </c>
      <c r="B28" s="27" t="s">
        <v>21</v>
      </c>
      <c r="C28" s="28">
        <v>2.97</v>
      </c>
      <c r="D28" s="27">
        <v>1</v>
      </c>
      <c r="E28" s="27">
        <v>2</v>
      </c>
      <c r="F28" s="27" t="s">
        <v>13</v>
      </c>
      <c r="G28" s="29">
        <f t="shared" si="0"/>
        <v>4.3477011494252871</v>
      </c>
      <c r="H28" s="30" t="s">
        <v>12</v>
      </c>
      <c r="I28" s="31">
        <v>21299</v>
      </c>
      <c r="J28" s="32">
        <v>0.3</v>
      </c>
      <c r="K28" s="27">
        <v>7</v>
      </c>
      <c r="L28" s="33">
        <f t="shared" si="1"/>
        <v>0.93103448275862066</v>
      </c>
      <c r="M28" s="29">
        <v>12.04</v>
      </c>
      <c r="N28" s="34">
        <f t="shared" si="2"/>
        <v>0.63218390804597702</v>
      </c>
      <c r="O28" s="27">
        <v>3</v>
      </c>
      <c r="P28" s="33">
        <f t="shared" si="3"/>
        <v>0.66666666666666674</v>
      </c>
      <c r="Q28" s="31">
        <v>809.9</v>
      </c>
      <c r="R28" s="34">
        <f t="shared" si="4"/>
        <v>0.50574712643678166</v>
      </c>
      <c r="S28" s="31">
        <v>466.38206156249998</v>
      </c>
      <c r="T28" s="34">
        <f t="shared" si="5"/>
        <v>0.22988505747126436</v>
      </c>
      <c r="U28" s="27">
        <v>2</v>
      </c>
      <c r="V28" s="34">
        <v>0.75</v>
      </c>
      <c r="W28" s="27">
        <v>1</v>
      </c>
      <c r="X28" s="34">
        <f t="shared" si="8"/>
        <v>1</v>
      </c>
      <c r="Y28" s="26"/>
    </row>
    <row r="29" spans="1:25" ht="15.75" customHeight="1" x14ac:dyDescent="0.15">
      <c r="A29" s="27" t="s">
        <v>55</v>
      </c>
      <c r="B29" s="27" t="s">
        <v>28</v>
      </c>
      <c r="C29" s="28">
        <v>2.93</v>
      </c>
      <c r="D29" s="27">
        <v>17</v>
      </c>
      <c r="E29" s="27">
        <v>1</v>
      </c>
      <c r="F29" s="27" t="s">
        <v>22</v>
      </c>
      <c r="G29" s="29">
        <f t="shared" si="0"/>
        <v>3.8055555555555554</v>
      </c>
      <c r="H29" s="30" t="s">
        <v>17</v>
      </c>
      <c r="I29" s="31">
        <v>15792</v>
      </c>
      <c r="J29" s="32">
        <v>0.93</v>
      </c>
      <c r="K29" s="27">
        <v>23</v>
      </c>
      <c r="L29" s="33">
        <f t="shared" si="1"/>
        <v>0.77011494252873558</v>
      </c>
      <c r="M29" s="29">
        <v>9.67</v>
      </c>
      <c r="N29" s="34">
        <f t="shared" si="2"/>
        <v>0.22988505747126436</v>
      </c>
      <c r="O29" s="27">
        <v>1</v>
      </c>
      <c r="P29" s="33">
        <f t="shared" si="3"/>
        <v>0.88888888888888884</v>
      </c>
      <c r="Q29" s="31">
        <v>670</v>
      </c>
      <c r="R29" s="34">
        <f t="shared" si="4"/>
        <v>0.65517241379310343</v>
      </c>
      <c r="S29" s="31">
        <v>324.43969499999997</v>
      </c>
      <c r="T29" s="34">
        <f t="shared" si="5"/>
        <v>0.67816091954022983</v>
      </c>
      <c r="U29" s="27">
        <v>2</v>
      </c>
      <c r="V29" s="34">
        <v>0.75</v>
      </c>
      <c r="W29" s="27">
        <v>2</v>
      </c>
      <c r="X29" s="32">
        <v>0.5</v>
      </c>
      <c r="Y29" s="26"/>
    </row>
    <row r="30" spans="1:25" ht="15.75" customHeight="1" x14ac:dyDescent="0.15">
      <c r="A30" s="35" t="s">
        <v>54</v>
      </c>
      <c r="B30" s="35" t="s">
        <v>28</v>
      </c>
      <c r="C30" s="28">
        <v>2.93</v>
      </c>
      <c r="D30" s="35">
        <v>23</v>
      </c>
      <c r="E30" s="27">
        <v>1</v>
      </c>
      <c r="F30" s="35" t="s">
        <v>36</v>
      </c>
      <c r="G30" s="29">
        <f t="shared" si="0"/>
        <v>3.1762452107279691</v>
      </c>
      <c r="H30" s="36" t="s">
        <v>17</v>
      </c>
      <c r="I30" s="31">
        <v>19084</v>
      </c>
      <c r="J30" s="32">
        <v>0.62</v>
      </c>
      <c r="K30" s="35">
        <v>59</v>
      </c>
      <c r="L30" s="33">
        <f t="shared" si="1"/>
        <v>0.25287356321839083</v>
      </c>
      <c r="M30" s="37">
        <v>12.25</v>
      </c>
      <c r="N30" s="34">
        <f t="shared" si="2"/>
        <v>0.68965517241379315</v>
      </c>
      <c r="O30" s="35">
        <v>1</v>
      </c>
      <c r="P30" s="33">
        <f t="shared" si="3"/>
        <v>0.88888888888888884</v>
      </c>
      <c r="Q30" s="31">
        <v>649.5</v>
      </c>
      <c r="R30" s="34">
        <f t="shared" si="4"/>
        <v>0.68965517241379315</v>
      </c>
      <c r="S30" s="31">
        <v>269.73158625000002</v>
      </c>
      <c r="T30" s="34">
        <f t="shared" si="5"/>
        <v>1</v>
      </c>
      <c r="U30" s="35">
        <v>1</v>
      </c>
      <c r="V30" s="34">
        <v>0.5</v>
      </c>
      <c r="W30" s="35">
        <v>3</v>
      </c>
      <c r="X30" s="38">
        <v>0</v>
      </c>
      <c r="Y30" s="26"/>
    </row>
    <row r="31" spans="1:25" ht="15.75" customHeight="1" x14ac:dyDescent="0.15">
      <c r="A31" s="27" t="s">
        <v>56</v>
      </c>
      <c r="B31" s="27" t="s">
        <v>28</v>
      </c>
      <c r="C31" s="28">
        <v>2.93</v>
      </c>
      <c r="D31" s="27">
        <v>11</v>
      </c>
      <c r="E31" s="27">
        <v>1</v>
      </c>
      <c r="F31" s="27" t="s">
        <v>57</v>
      </c>
      <c r="G31" s="29">
        <f t="shared" si="0"/>
        <v>4.1762452107279691</v>
      </c>
      <c r="H31" s="30" t="s">
        <v>17</v>
      </c>
      <c r="I31" s="31">
        <v>21152</v>
      </c>
      <c r="J31" s="32">
        <v>0.32</v>
      </c>
      <c r="K31" s="27">
        <v>70</v>
      </c>
      <c r="L31" s="33">
        <f t="shared" si="1"/>
        <v>0.12643678160919541</v>
      </c>
      <c r="M31" s="29">
        <v>13.2</v>
      </c>
      <c r="N31" s="34">
        <f t="shared" si="2"/>
        <v>0.91954022988505746</v>
      </c>
      <c r="O31" s="27">
        <v>1</v>
      </c>
      <c r="P31" s="33">
        <f t="shared" si="3"/>
        <v>0.88888888888888884</v>
      </c>
      <c r="Q31" s="31">
        <v>582.5</v>
      </c>
      <c r="R31" s="34">
        <f t="shared" si="4"/>
        <v>0.8045977011494253</v>
      </c>
      <c r="S31" s="31">
        <v>324.43969499999997</v>
      </c>
      <c r="T31" s="34">
        <f t="shared" si="5"/>
        <v>0.67816091954022983</v>
      </c>
      <c r="U31" s="27">
        <v>1</v>
      </c>
      <c r="V31" s="34">
        <v>0.5</v>
      </c>
      <c r="W31" s="27">
        <v>1</v>
      </c>
      <c r="X31" s="34">
        <f>100%</f>
        <v>1</v>
      </c>
      <c r="Y31" s="26"/>
    </row>
    <row r="32" spans="1:25" ht="15.75" customHeight="1" x14ac:dyDescent="0.15">
      <c r="A32" s="27" t="s">
        <v>58</v>
      </c>
      <c r="B32" s="27" t="s">
        <v>11</v>
      </c>
      <c r="C32" s="28">
        <v>2.91</v>
      </c>
      <c r="D32" s="27">
        <v>24</v>
      </c>
      <c r="E32" s="27">
        <v>2</v>
      </c>
      <c r="F32" s="27" t="s">
        <v>33</v>
      </c>
      <c r="G32" s="29">
        <f t="shared" si="0"/>
        <v>3.7806513409961688</v>
      </c>
      <c r="H32" s="30" t="s">
        <v>12</v>
      </c>
      <c r="I32" s="31">
        <v>21458</v>
      </c>
      <c r="J32" s="32">
        <v>0.28000000000000003</v>
      </c>
      <c r="K32" s="27">
        <v>42</v>
      </c>
      <c r="L32" s="33">
        <f t="shared" si="1"/>
        <v>0.51724137931034486</v>
      </c>
      <c r="M32" s="29">
        <v>12.28</v>
      </c>
      <c r="N32" s="34">
        <f t="shared" si="2"/>
        <v>0.71264367816091956</v>
      </c>
      <c r="O32" s="27">
        <v>2</v>
      </c>
      <c r="P32" s="33">
        <f t="shared" si="3"/>
        <v>0.77777777777777779</v>
      </c>
      <c r="Q32" s="31">
        <v>565</v>
      </c>
      <c r="R32" s="34">
        <f t="shared" si="4"/>
        <v>0.81609195402298851</v>
      </c>
      <c r="S32" s="31">
        <v>466.38206156249998</v>
      </c>
      <c r="T32" s="34">
        <f t="shared" si="5"/>
        <v>0.22988505747126436</v>
      </c>
      <c r="U32" s="27">
        <v>2</v>
      </c>
      <c r="V32" s="34">
        <v>0.75</v>
      </c>
      <c r="W32" s="27">
        <v>2</v>
      </c>
      <c r="X32" s="32">
        <v>0.5</v>
      </c>
      <c r="Y32" s="26"/>
    </row>
    <row r="33" spans="1:25" ht="15.75" customHeight="1" x14ac:dyDescent="0.15">
      <c r="A33" s="27" t="s">
        <v>59</v>
      </c>
      <c r="B33" s="27" t="s">
        <v>28</v>
      </c>
      <c r="C33" s="28">
        <v>2.85</v>
      </c>
      <c r="D33" s="27">
        <v>5</v>
      </c>
      <c r="E33" s="27">
        <v>1</v>
      </c>
      <c r="F33" s="27" t="s">
        <v>18</v>
      </c>
      <c r="G33" s="29">
        <f t="shared" si="0"/>
        <v>3.0957854406130267</v>
      </c>
      <c r="H33" s="30" t="s">
        <v>17</v>
      </c>
      <c r="I33" s="31">
        <v>20701</v>
      </c>
      <c r="J33" s="32">
        <v>0.39</v>
      </c>
      <c r="K33" s="27">
        <v>27</v>
      </c>
      <c r="L33" s="33">
        <f t="shared" si="1"/>
        <v>0.74712643678160917</v>
      </c>
      <c r="M33" s="29">
        <v>12.6</v>
      </c>
      <c r="N33" s="34">
        <f t="shared" si="2"/>
        <v>0.83908045977011492</v>
      </c>
      <c r="O33" s="27">
        <v>4</v>
      </c>
      <c r="P33" s="33">
        <f t="shared" si="3"/>
        <v>0.55555555555555558</v>
      </c>
      <c r="Q33" s="31">
        <v>1057</v>
      </c>
      <c r="R33" s="34">
        <f t="shared" si="4"/>
        <v>0.22988505747126436</v>
      </c>
      <c r="S33" s="31">
        <v>324.43969499999997</v>
      </c>
      <c r="T33" s="34">
        <f t="shared" si="5"/>
        <v>0.67816091954022983</v>
      </c>
      <c r="U33" s="27">
        <v>1</v>
      </c>
      <c r="V33" s="34">
        <v>0.5</v>
      </c>
      <c r="W33" s="27">
        <v>3</v>
      </c>
      <c r="X33" s="32">
        <v>0</v>
      </c>
      <c r="Y33" s="26"/>
    </row>
    <row r="34" spans="1:25" ht="15.75" customHeight="1" x14ac:dyDescent="0.15">
      <c r="A34" s="27" t="s">
        <v>60</v>
      </c>
      <c r="B34" s="27" t="s">
        <v>21</v>
      </c>
      <c r="C34" s="28">
        <v>2.84</v>
      </c>
      <c r="D34" s="27">
        <v>70</v>
      </c>
      <c r="E34" s="27">
        <v>3</v>
      </c>
      <c r="F34" s="27" t="s">
        <v>18</v>
      </c>
      <c r="G34" s="29">
        <f t="shared" si="0"/>
        <v>4.2116858237547898</v>
      </c>
      <c r="H34" s="30" t="s">
        <v>50</v>
      </c>
      <c r="I34" s="31">
        <v>20323</v>
      </c>
      <c r="J34" s="32">
        <v>0.45</v>
      </c>
      <c r="K34" s="27">
        <v>35</v>
      </c>
      <c r="L34" s="33">
        <f t="shared" si="1"/>
        <v>0.60919540229885061</v>
      </c>
      <c r="M34" s="29">
        <v>11.63</v>
      </c>
      <c r="N34" s="34">
        <f t="shared" si="2"/>
        <v>0.52873563218390807</v>
      </c>
      <c r="O34" s="27">
        <v>2</v>
      </c>
      <c r="P34" s="33">
        <f t="shared" si="3"/>
        <v>0.77777777777777779</v>
      </c>
      <c r="Q34" s="31">
        <v>525</v>
      </c>
      <c r="R34" s="34">
        <f t="shared" si="4"/>
        <v>0.86206896551724133</v>
      </c>
      <c r="S34" s="31">
        <v>466.38206156249998</v>
      </c>
      <c r="T34" s="34">
        <f t="shared" si="5"/>
        <v>0.22988505747126436</v>
      </c>
      <c r="U34" s="27">
        <v>2</v>
      </c>
      <c r="V34" s="34">
        <v>0.75</v>
      </c>
      <c r="W34" s="27">
        <v>1</v>
      </c>
      <c r="X34" s="34">
        <f>100%</f>
        <v>1</v>
      </c>
      <c r="Y34" s="26"/>
    </row>
    <row r="35" spans="1:25" ht="15.75" customHeight="1" x14ac:dyDescent="0.15">
      <c r="A35" s="27" t="s">
        <v>61</v>
      </c>
      <c r="B35" s="27" t="s">
        <v>39</v>
      </c>
      <c r="C35" s="28">
        <v>2.81</v>
      </c>
      <c r="D35" s="27">
        <v>151</v>
      </c>
      <c r="E35" s="27">
        <v>2</v>
      </c>
      <c r="F35" s="27" t="s">
        <v>18</v>
      </c>
      <c r="G35" s="29">
        <f t="shared" si="0"/>
        <v>3.686781609195402</v>
      </c>
      <c r="H35" s="30" t="s">
        <v>12</v>
      </c>
      <c r="I35" s="31">
        <v>21047</v>
      </c>
      <c r="J35" s="32">
        <v>0.33</v>
      </c>
      <c r="K35" s="27">
        <v>37</v>
      </c>
      <c r="L35" s="33">
        <f t="shared" si="1"/>
        <v>0.56321839080459768</v>
      </c>
      <c r="M35" s="29">
        <v>11.83</v>
      </c>
      <c r="N35" s="34">
        <f t="shared" si="2"/>
        <v>0.57471264367816088</v>
      </c>
      <c r="O35" s="27">
        <v>0</v>
      </c>
      <c r="P35" s="33">
        <f t="shared" si="3"/>
        <v>1</v>
      </c>
      <c r="Q35" s="31">
        <v>912.5</v>
      </c>
      <c r="R35" s="34">
        <f t="shared" si="4"/>
        <v>0.36781609195402298</v>
      </c>
      <c r="S35" s="31">
        <v>466.38206156249998</v>
      </c>
      <c r="T35" s="34">
        <f t="shared" si="5"/>
        <v>0.22988505747126436</v>
      </c>
      <c r="U35" s="27">
        <v>2</v>
      </c>
      <c r="V35" s="34">
        <v>0.75</v>
      </c>
      <c r="W35" s="27">
        <v>2</v>
      </c>
      <c r="X35" s="32">
        <v>0.5</v>
      </c>
      <c r="Y35" s="26"/>
    </row>
    <row r="36" spans="1:25" ht="15.75" customHeight="1" x14ac:dyDescent="0.15">
      <c r="A36" s="27" t="s">
        <v>64</v>
      </c>
      <c r="B36" s="27" t="s">
        <v>32</v>
      </c>
      <c r="C36" s="28">
        <v>2.8</v>
      </c>
      <c r="D36" s="27">
        <v>69</v>
      </c>
      <c r="E36" s="27">
        <v>2</v>
      </c>
      <c r="F36" s="27" t="s">
        <v>18</v>
      </c>
      <c r="G36" s="29">
        <f t="shared" si="0"/>
        <v>4.1791187739463602</v>
      </c>
      <c r="H36" s="30" t="s">
        <v>12</v>
      </c>
      <c r="I36" s="31">
        <v>25352</v>
      </c>
      <c r="J36" s="32">
        <v>0.06</v>
      </c>
      <c r="K36" s="27">
        <v>33</v>
      </c>
      <c r="L36" s="33">
        <f t="shared" si="1"/>
        <v>0.67816091954022983</v>
      </c>
      <c r="M36" s="29">
        <v>12.44</v>
      </c>
      <c r="N36" s="34">
        <f t="shared" si="2"/>
        <v>0.75862068965517238</v>
      </c>
      <c r="O36" s="27">
        <v>1</v>
      </c>
      <c r="P36" s="33">
        <f t="shared" si="3"/>
        <v>0.88888888888888884</v>
      </c>
      <c r="Q36" s="31">
        <v>1162</v>
      </c>
      <c r="R36" s="34">
        <f t="shared" si="4"/>
        <v>0.14942528735632185</v>
      </c>
      <c r="S36" s="31">
        <v>709.71183281250001</v>
      </c>
      <c r="T36" s="34">
        <f t="shared" si="5"/>
        <v>5.7471264367816091E-2</v>
      </c>
      <c r="U36" s="27">
        <v>2</v>
      </c>
      <c r="V36" s="34">
        <v>0.75</v>
      </c>
      <c r="W36" s="27">
        <v>1</v>
      </c>
      <c r="X36" s="34">
        <f t="shared" ref="X36:X37" si="9">100%</f>
        <v>1</v>
      </c>
      <c r="Y36" s="26"/>
    </row>
    <row r="37" spans="1:25" ht="15.75" customHeight="1" x14ac:dyDescent="0.15">
      <c r="A37" s="27" t="s">
        <v>63</v>
      </c>
      <c r="B37" s="27" t="s">
        <v>21</v>
      </c>
      <c r="C37" s="28">
        <v>2.8</v>
      </c>
      <c r="D37" s="27">
        <v>4</v>
      </c>
      <c r="E37" s="27">
        <v>2</v>
      </c>
      <c r="F37" s="27" t="s">
        <v>13</v>
      </c>
      <c r="G37" s="29">
        <f t="shared" si="0"/>
        <v>4.1733716475095788</v>
      </c>
      <c r="H37" s="30" t="s">
        <v>12</v>
      </c>
      <c r="I37" s="31">
        <v>21447</v>
      </c>
      <c r="J37" s="32">
        <v>0.28999999999999998</v>
      </c>
      <c r="K37" s="27">
        <v>4</v>
      </c>
      <c r="L37" s="33">
        <f t="shared" si="1"/>
        <v>0.96551724137931039</v>
      </c>
      <c r="M37" s="29">
        <v>12.04</v>
      </c>
      <c r="N37" s="34">
        <f t="shared" si="2"/>
        <v>0.63218390804597702</v>
      </c>
      <c r="O37" s="27">
        <v>4</v>
      </c>
      <c r="P37" s="33">
        <f t="shared" si="3"/>
        <v>0.55555555555555558</v>
      </c>
      <c r="Q37" s="31">
        <v>958.33333333333303</v>
      </c>
      <c r="R37" s="34">
        <f t="shared" si="4"/>
        <v>0.31034482758620691</v>
      </c>
      <c r="S37" s="31">
        <v>466.38206156249998</v>
      </c>
      <c r="T37" s="34">
        <f t="shared" si="5"/>
        <v>0.22988505747126436</v>
      </c>
      <c r="U37" s="27">
        <v>2</v>
      </c>
      <c r="V37" s="34">
        <v>0.75</v>
      </c>
      <c r="W37" s="27">
        <v>1</v>
      </c>
      <c r="X37" s="34">
        <f t="shared" si="9"/>
        <v>1</v>
      </c>
      <c r="Y37" s="26"/>
    </row>
    <row r="38" spans="1:25" ht="15.75" customHeight="1" x14ac:dyDescent="0.15">
      <c r="A38" s="27" t="s">
        <v>62</v>
      </c>
      <c r="B38" s="27" t="s">
        <v>28</v>
      </c>
      <c r="C38" s="28">
        <v>2.8</v>
      </c>
      <c r="D38" s="27">
        <v>77</v>
      </c>
      <c r="E38" s="27">
        <v>1</v>
      </c>
      <c r="F38" s="27" t="s">
        <v>36</v>
      </c>
      <c r="G38" s="29">
        <f t="shared" si="0"/>
        <v>3.1752873563218391</v>
      </c>
      <c r="H38" s="30" t="s">
        <v>17</v>
      </c>
      <c r="I38" s="31">
        <v>19551</v>
      </c>
      <c r="J38" s="32">
        <v>0.56999999999999995</v>
      </c>
      <c r="K38" s="27">
        <v>59</v>
      </c>
      <c r="L38" s="33">
        <f t="shared" si="1"/>
        <v>0.25287356321839083</v>
      </c>
      <c r="M38" s="29">
        <v>12</v>
      </c>
      <c r="N38" s="34">
        <f t="shared" si="2"/>
        <v>0.60919540229885061</v>
      </c>
      <c r="O38" s="27">
        <v>0</v>
      </c>
      <c r="P38" s="33">
        <f t="shared" si="3"/>
        <v>1</v>
      </c>
      <c r="Q38" s="31">
        <v>832.5</v>
      </c>
      <c r="R38" s="34">
        <f t="shared" si="4"/>
        <v>0.44827586206896552</v>
      </c>
      <c r="S38" s="31">
        <v>324.43969499999997</v>
      </c>
      <c r="T38" s="34">
        <f t="shared" si="5"/>
        <v>0.67816091954022983</v>
      </c>
      <c r="U38" s="27">
        <v>2</v>
      </c>
      <c r="V38" s="34">
        <v>0.75</v>
      </c>
      <c r="W38" s="27">
        <v>3</v>
      </c>
      <c r="X38" s="32">
        <v>0</v>
      </c>
      <c r="Y38" s="26"/>
    </row>
    <row r="39" spans="1:25" ht="15.75" customHeight="1" x14ac:dyDescent="0.15">
      <c r="A39" s="27" t="s">
        <v>65</v>
      </c>
      <c r="B39" s="27" t="s">
        <v>39</v>
      </c>
      <c r="C39" s="28">
        <v>2.79</v>
      </c>
      <c r="D39" s="27">
        <v>3</v>
      </c>
      <c r="E39" s="27">
        <v>1</v>
      </c>
      <c r="F39" s="27" t="s">
        <v>57</v>
      </c>
      <c r="G39" s="29">
        <f t="shared" si="0"/>
        <v>4.0440613026819925</v>
      </c>
      <c r="H39" s="30" t="s">
        <v>17</v>
      </c>
      <c r="I39" s="31">
        <v>19468</v>
      </c>
      <c r="J39" s="32">
        <v>0.59</v>
      </c>
      <c r="K39" s="27">
        <v>73</v>
      </c>
      <c r="L39" s="33">
        <f t="shared" si="1"/>
        <v>9.1954022988505746E-2</v>
      </c>
      <c r="M39" s="29">
        <v>12.3</v>
      </c>
      <c r="N39" s="34">
        <f t="shared" si="2"/>
        <v>0.72413793103448276</v>
      </c>
      <c r="O39" s="27">
        <v>1</v>
      </c>
      <c r="P39" s="33">
        <f t="shared" si="3"/>
        <v>0.88888888888888884</v>
      </c>
      <c r="Q39" s="31">
        <v>287.5</v>
      </c>
      <c r="R39" s="34">
        <f t="shared" si="4"/>
        <v>1</v>
      </c>
      <c r="S39" s="31">
        <v>324.43969499999997</v>
      </c>
      <c r="T39" s="34">
        <f t="shared" si="5"/>
        <v>0.67816091954022983</v>
      </c>
      <c r="U39" s="27">
        <v>1</v>
      </c>
      <c r="V39" s="34">
        <v>0.5</v>
      </c>
      <c r="W39" s="27">
        <v>1</v>
      </c>
      <c r="X39" s="34">
        <f t="shared" ref="X39:X40" si="10">100%</f>
        <v>1</v>
      </c>
      <c r="Y39" s="26"/>
    </row>
    <row r="40" spans="1:25" ht="15.75" customHeight="1" x14ac:dyDescent="0.15">
      <c r="A40" s="27" t="s">
        <v>66</v>
      </c>
      <c r="B40" s="27" t="s">
        <v>21</v>
      </c>
      <c r="C40" s="28">
        <v>2.78</v>
      </c>
      <c r="D40" s="27">
        <v>46</v>
      </c>
      <c r="E40" s="27">
        <v>3</v>
      </c>
      <c r="F40" s="27" t="s">
        <v>18</v>
      </c>
      <c r="G40" s="29">
        <f t="shared" si="0"/>
        <v>4.1561302681992336</v>
      </c>
      <c r="H40" s="30" t="s">
        <v>50</v>
      </c>
      <c r="I40" s="31">
        <v>16697</v>
      </c>
      <c r="J40" s="32">
        <v>0.84</v>
      </c>
      <c r="K40" s="27">
        <v>27</v>
      </c>
      <c r="L40" s="33">
        <f t="shared" si="1"/>
        <v>0.74712643678160917</v>
      </c>
      <c r="M40" s="29">
        <v>9.48</v>
      </c>
      <c r="N40" s="34">
        <f t="shared" si="2"/>
        <v>0.21839080459770116</v>
      </c>
      <c r="O40" s="27">
        <v>1</v>
      </c>
      <c r="P40" s="33">
        <f t="shared" si="3"/>
        <v>0.88888888888888884</v>
      </c>
      <c r="Q40" s="31">
        <v>522</v>
      </c>
      <c r="R40" s="34">
        <f t="shared" si="4"/>
        <v>0.87356321839080464</v>
      </c>
      <c r="S40" s="31">
        <v>466.38206156249998</v>
      </c>
      <c r="T40" s="34">
        <f t="shared" si="5"/>
        <v>0.22988505747126436</v>
      </c>
      <c r="U40" s="27">
        <v>2</v>
      </c>
      <c r="V40" s="34">
        <v>0.75</v>
      </c>
      <c r="W40" s="27">
        <v>1</v>
      </c>
      <c r="X40" s="34">
        <f t="shared" si="10"/>
        <v>1</v>
      </c>
      <c r="Y40" s="26"/>
    </row>
    <row r="41" spans="1:25" ht="15.75" customHeight="1" x14ac:dyDescent="0.15">
      <c r="A41" s="27" t="s">
        <v>67</v>
      </c>
      <c r="B41" s="27" t="s">
        <v>35</v>
      </c>
      <c r="C41" s="28">
        <v>2.75</v>
      </c>
      <c r="D41" s="27">
        <v>86</v>
      </c>
      <c r="E41" s="27">
        <v>1</v>
      </c>
      <c r="F41" s="27" t="s">
        <v>36</v>
      </c>
      <c r="G41" s="29">
        <f t="shared" si="0"/>
        <v>3.6293103448275863</v>
      </c>
      <c r="H41" s="30" t="s">
        <v>17</v>
      </c>
      <c r="I41" s="31">
        <v>20336</v>
      </c>
      <c r="J41" s="32">
        <v>0.44</v>
      </c>
      <c r="K41" s="27">
        <v>62</v>
      </c>
      <c r="L41" s="33">
        <f t="shared" si="1"/>
        <v>0.21839080459770116</v>
      </c>
      <c r="M41" s="29">
        <v>12.31</v>
      </c>
      <c r="N41" s="34">
        <f t="shared" si="2"/>
        <v>0.73563218390804597</v>
      </c>
      <c r="O41" s="27">
        <v>0</v>
      </c>
      <c r="P41" s="33">
        <f t="shared" si="3"/>
        <v>1</v>
      </c>
      <c r="Q41" s="31">
        <v>1140</v>
      </c>
      <c r="R41" s="34">
        <f t="shared" si="4"/>
        <v>0.17241379310344829</v>
      </c>
      <c r="S41" s="31">
        <v>324.43969499999997</v>
      </c>
      <c r="T41" s="34">
        <f t="shared" si="5"/>
        <v>0.67816091954022983</v>
      </c>
      <c r="U41" s="27">
        <v>2</v>
      </c>
      <c r="V41" s="34">
        <v>0.75</v>
      </c>
      <c r="W41" s="27">
        <v>2</v>
      </c>
      <c r="X41" s="32">
        <v>0.5</v>
      </c>
      <c r="Y41" s="26"/>
    </row>
    <row r="42" spans="1:25" ht="15.75" customHeight="1" x14ac:dyDescent="0.15">
      <c r="A42" s="27" t="s">
        <v>68</v>
      </c>
      <c r="B42" s="27" t="s">
        <v>21</v>
      </c>
      <c r="C42" s="28">
        <v>2.73</v>
      </c>
      <c r="D42" s="27">
        <v>94</v>
      </c>
      <c r="E42" s="27">
        <v>3</v>
      </c>
      <c r="F42" s="27" t="s">
        <v>18</v>
      </c>
      <c r="G42" s="29">
        <f t="shared" si="0"/>
        <v>4.1044061302681989</v>
      </c>
      <c r="H42" s="30" t="s">
        <v>50</v>
      </c>
      <c r="I42" s="31">
        <v>19605</v>
      </c>
      <c r="J42" s="32">
        <v>0.56000000000000005</v>
      </c>
      <c r="K42" s="27">
        <v>34</v>
      </c>
      <c r="L42" s="33">
        <f t="shared" si="1"/>
        <v>0.64367816091954022</v>
      </c>
      <c r="M42" s="29">
        <v>11.1</v>
      </c>
      <c r="N42" s="34">
        <f t="shared" si="2"/>
        <v>0.41379310344827586</v>
      </c>
      <c r="O42" s="27">
        <v>1</v>
      </c>
      <c r="P42" s="33">
        <f t="shared" si="3"/>
        <v>0.88888888888888884</v>
      </c>
      <c r="Q42" s="31">
        <v>700</v>
      </c>
      <c r="R42" s="34">
        <f t="shared" si="4"/>
        <v>0.58620689655172409</v>
      </c>
      <c r="S42" s="31">
        <v>466.38206156249998</v>
      </c>
      <c r="T42" s="34">
        <f t="shared" si="5"/>
        <v>0.22988505747126436</v>
      </c>
      <c r="U42" s="27">
        <v>2</v>
      </c>
      <c r="V42" s="34">
        <v>0.75</v>
      </c>
      <c r="W42" s="27">
        <v>1</v>
      </c>
      <c r="X42" s="34">
        <f t="shared" ref="X42:X43" si="11">100%</f>
        <v>1</v>
      </c>
      <c r="Y42" s="26"/>
    </row>
    <row r="43" spans="1:25" ht="15.75" customHeight="1" x14ac:dyDescent="0.15">
      <c r="A43" s="27" t="s">
        <v>69</v>
      </c>
      <c r="B43" s="27" t="s">
        <v>21</v>
      </c>
      <c r="C43" s="28">
        <v>2.72</v>
      </c>
      <c r="D43" s="27">
        <v>87</v>
      </c>
      <c r="E43" s="27">
        <v>3</v>
      </c>
      <c r="F43" s="27" t="s">
        <v>18</v>
      </c>
      <c r="G43" s="29">
        <f t="shared" si="0"/>
        <v>4.0909961685823752</v>
      </c>
      <c r="H43" s="30" t="s">
        <v>50</v>
      </c>
      <c r="I43" s="31">
        <v>20312</v>
      </c>
      <c r="J43" s="32">
        <v>0.46</v>
      </c>
      <c r="K43" s="27">
        <v>37</v>
      </c>
      <c r="L43" s="33">
        <f t="shared" si="1"/>
        <v>0.56321839080459768</v>
      </c>
      <c r="M43" s="29">
        <v>11.57</v>
      </c>
      <c r="N43" s="34">
        <f t="shared" si="2"/>
        <v>0.51724137931034486</v>
      </c>
      <c r="O43" s="27">
        <v>2</v>
      </c>
      <c r="P43" s="33">
        <f t="shared" si="3"/>
        <v>0.77777777777777779</v>
      </c>
      <c r="Q43" s="31">
        <v>615</v>
      </c>
      <c r="R43" s="34">
        <f t="shared" si="4"/>
        <v>0.73563218390804597</v>
      </c>
      <c r="S43" s="31">
        <v>466.38206156249998</v>
      </c>
      <c r="T43" s="34">
        <f t="shared" si="5"/>
        <v>0.22988505747126436</v>
      </c>
      <c r="U43" s="27">
        <v>2</v>
      </c>
      <c r="V43" s="34">
        <v>0.75</v>
      </c>
      <c r="W43" s="27">
        <v>1</v>
      </c>
      <c r="X43" s="34">
        <f t="shared" si="11"/>
        <v>1</v>
      </c>
      <c r="Y43" s="26"/>
    </row>
    <row r="44" spans="1:25" ht="15.75" customHeight="1" x14ac:dyDescent="0.15">
      <c r="A44" s="35" t="s">
        <v>70</v>
      </c>
      <c r="B44" s="35" t="s">
        <v>28</v>
      </c>
      <c r="C44" s="28">
        <v>2.72</v>
      </c>
      <c r="D44" s="35">
        <v>26</v>
      </c>
      <c r="E44" s="27">
        <v>2</v>
      </c>
      <c r="F44" s="35" t="s">
        <v>36</v>
      </c>
      <c r="G44" s="29">
        <f t="shared" si="0"/>
        <v>4.092911877394636</v>
      </c>
      <c r="H44" s="36" t="s">
        <v>12</v>
      </c>
      <c r="I44" s="31">
        <v>18527</v>
      </c>
      <c r="J44" s="32">
        <v>0.68</v>
      </c>
      <c r="K44" s="35">
        <v>57</v>
      </c>
      <c r="L44" s="33">
        <f t="shared" si="1"/>
        <v>0.28735632183908044</v>
      </c>
      <c r="M44" s="37">
        <v>11</v>
      </c>
      <c r="N44" s="34">
        <f t="shared" si="2"/>
        <v>0.39080459770114945</v>
      </c>
      <c r="O44" s="35">
        <v>1</v>
      </c>
      <c r="P44" s="33">
        <f t="shared" si="3"/>
        <v>0.88888888888888884</v>
      </c>
      <c r="Q44" s="31">
        <v>469.4</v>
      </c>
      <c r="R44" s="34">
        <f t="shared" si="4"/>
        <v>0.91954022988505746</v>
      </c>
      <c r="S44" s="31">
        <v>404.597379375</v>
      </c>
      <c r="T44" s="34">
        <f t="shared" si="5"/>
        <v>0.63218390804597702</v>
      </c>
      <c r="U44" s="35">
        <v>2</v>
      </c>
      <c r="V44" s="34">
        <v>0.75</v>
      </c>
      <c r="W44" s="35">
        <v>1</v>
      </c>
      <c r="X44" s="38">
        <v>1</v>
      </c>
      <c r="Y44" s="26"/>
    </row>
    <row r="45" spans="1:25" ht="15.75" customHeight="1" x14ac:dyDescent="0.15">
      <c r="A45" s="27" t="s">
        <v>71</v>
      </c>
      <c r="B45" s="27" t="s">
        <v>11</v>
      </c>
      <c r="C45" s="28">
        <v>2.71</v>
      </c>
      <c r="D45" s="27">
        <v>125</v>
      </c>
      <c r="E45" s="27">
        <v>3</v>
      </c>
      <c r="F45" s="27" t="s">
        <v>18</v>
      </c>
      <c r="G45" s="29">
        <f t="shared" si="0"/>
        <v>3.9636015325670497</v>
      </c>
      <c r="H45" s="30" t="s">
        <v>50</v>
      </c>
      <c r="I45" s="31">
        <v>19673</v>
      </c>
      <c r="J45" s="32">
        <v>0.55000000000000004</v>
      </c>
      <c r="K45" s="27">
        <v>30</v>
      </c>
      <c r="L45" s="33">
        <f t="shared" si="1"/>
        <v>0.70114942528735635</v>
      </c>
      <c r="M45" s="29">
        <v>11.17</v>
      </c>
      <c r="N45" s="34">
        <f t="shared" si="2"/>
        <v>0.42528735632183906</v>
      </c>
      <c r="O45" s="27">
        <v>1</v>
      </c>
      <c r="P45" s="33">
        <f t="shared" si="3"/>
        <v>0.88888888888888884</v>
      </c>
      <c r="Q45" s="31">
        <v>650</v>
      </c>
      <c r="R45" s="34">
        <f t="shared" si="4"/>
        <v>0.66666666666666663</v>
      </c>
      <c r="S45" s="31">
        <v>466.38206156249998</v>
      </c>
      <c r="T45" s="34">
        <f t="shared" si="5"/>
        <v>0.22988505747126436</v>
      </c>
      <c r="U45" s="27">
        <v>1</v>
      </c>
      <c r="V45" s="34">
        <v>0.5</v>
      </c>
      <c r="W45" s="27">
        <v>1</v>
      </c>
      <c r="X45" s="34">
        <f>100%</f>
        <v>1</v>
      </c>
      <c r="Y45" s="26"/>
    </row>
    <row r="46" spans="1:25" ht="15.75" customHeight="1" x14ac:dyDescent="0.15">
      <c r="A46" s="27" t="s">
        <v>72</v>
      </c>
      <c r="B46" s="27" t="s">
        <v>16</v>
      </c>
      <c r="C46" s="28">
        <v>2.71</v>
      </c>
      <c r="D46" s="27">
        <v>120</v>
      </c>
      <c r="E46" s="27">
        <v>1</v>
      </c>
      <c r="F46" s="27" t="s">
        <v>36</v>
      </c>
      <c r="G46" s="29">
        <f t="shared" si="0"/>
        <v>3.5833333333333335</v>
      </c>
      <c r="H46" s="30" t="s">
        <v>17</v>
      </c>
      <c r="I46" s="31">
        <v>24308</v>
      </c>
      <c r="J46" s="32">
        <v>0.1</v>
      </c>
      <c r="K46" s="27">
        <v>56</v>
      </c>
      <c r="L46" s="33">
        <f t="shared" si="1"/>
        <v>0.2988505747126437</v>
      </c>
      <c r="M46" s="29">
        <v>13.07</v>
      </c>
      <c r="N46" s="34">
        <f t="shared" si="2"/>
        <v>0.90804597701149425</v>
      </c>
      <c r="O46" s="27">
        <v>0</v>
      </c>
      <c r="P46" s="33">
        <f t="shared" si="3"/>
        <v>1</v>
      </c>
      <c r="Q46" s="31">
        <v>2083.3333333333298</v>
      </c>
      <c r="R46" s="34">
        <f t="shared" si="4"/>
        <v>2.2988505747126436E-2</v>
      </c>
      <c r="S46" s="31">
        <v>466.38206156249998</v>
      </c>
      <c r="T46" s="34">
        <f t="shared" si="5"/>
        <v>0.22988505747126436</v>
      </c>
      <c r="U46" s="27">
        <v>2</v>
      </c>
      <c r="V46" s="34">
        <v>0.75</v>
      </c>
      <c r="W46" s="27">
        <v>2</v>
      </c>
      <c r="X46" s="32">
        <v>0.5</v>
      </c>
      <c r="Y46" s="26"/>
    </row>
    <row r="47" spans="1:25" ht="13" x14ac:dyDescent="0.15">
      <c r="A47" s="27" t="s">
        <v>74</v>
      </c>
      <c r="B47" s="27" t="s">
        <v>21</v>
      </c>
      <c r="C47" s="28">
        <v>2.7</v>
      </c>
      <c r="D47" s="27">
        <v>90</v>
      </c>
      <c r="E47" s="27">
        <v>2</v>
      </c>
      <c r="F47" s="27" t="s">
        <v>22</v>
      </c>
      <c r="G47" s="29">
        <f t="shared" si="0"/>
        <v>3.9540229885057472</v>
      </c>
      <c r="H47" s="30" t="s">
        <v>12</v>
      </c>
      <c r="I47" s="31">
        <v>16000</v>
      </c>
      <c r="J47" s="32">
        <v>0.9</v>
      </c>
      <c r="K47" s="27">
        <v>18</v>
      </c>
      <c r="L47" s="33">
        <f t="shared" si="1"/>
        <v>0.81609195402298851</v>
      </c>
      <c r="M47" s="29">
        <v>9.02</v>
      </c>
      <c r="N47" s="34">
        <f t="shared" si="2"/>
        <v>0.13793103448275862</v>
      </c>
      <c r="O47" s="27">
        <v>0</v>
      </c>
      <c r="P47" s="33">
        <f t="shared" si="3"/>
        <v>1</v>
      </c>
      <c r="Q47" s="31">
        <v>600</v>
      </c>
      <c r="R47" s="34">
        <f t="shared" si="4"/>
        <v>0.77011494252873558</v>
      </c>
      <c r="S47" s="31">
        <v>466.38206156249998</v>
      </c>
      <c r="T47" s="34">
        <f t="shared" si="5"/>
        <v>0.22988505747126436</v>
      </c>
      <c r="U47" s="27">
        <v>1</v>
      </c>
      <c r="V47" s="34">
        <v>0.5</v>
      </c>
      <c r="W47" s="27">
        <v>1</v>
      </c>
      <c r="X47" s="34">
        <f t="shared" ref="X47:X48" si="12">100%</f>
        <v>1</v>
      </c>
      <c r="Y47" s="26"/>
    </row>
    <row r="48" spans="1:25" ht="13" x14ac:dyDescent="0.15">
      <c r="A48" s="27" t="s">
        <v>75</v>
      </c>
      <c r="B48" s="27" t="s">
        <v>35</v>
      </c>
      <c r="C48" s="28">
        <v>2.61</v>
      </c>
      <c r="D48" s="27">
        <v>22</v>
      </c>
      <c r="E48" s="27">
        <v>2</v>
      </c>
      <c r="F48" s="27" t="s">
        <v>33</v>
      </c>
      <c r="G48" s="29">
        <f t="shared" si="0"/>
        <v>3.9837164750957852</v>
      </c>
      <c r="H48" s="30" t="s">
        <v>12</v>
      </c>
      <c r="I48" s="31">
        <v>17741</v>
      </c>
      <c r="J48" s="32">
        <v>0.77</v>
      </c>
      <c r="K48" s="27">
        <v>54</v>
      </c>
      <c r="L48" s="33">
        <f t="shared" si="1"/>
        <v>0.31034482758620691</v>
      </c>
      <c r="M48" s="29">
        <v>10.92</v>
      </c>
      <c r="N48" s="34">
        <f t="shared" si="2"/>
        <v>0.37931034482758619</v>
      </c>
      <c r="O48" s="27">
        <v>1</v>
      </c>
      <c r="P48" s="33">
        <f t="shared" si="3"/>
        <v>0.88888888888888884</v>
      </c>
      <c r="Q48" s="31">
        <v>690</v>
      </c>
      <c r="R48" s="34">
        <f t="shared" si="4"/>
        <v>0.63218390804597702</v>
      </c>
      <c r="S48" s="31">
        <v>324.43969499999997</v>
      </c>
      <c r="T48" s="34">
        <f t="shared" si="5"/>
        <v>0.67816091954022983</v>
      </c>
      <c r="U48" s="27">
        <v>2</v>
      </c>
      <c r="V48" s="34">
        <v>0.75</v>
      </c>
      <c r="W48" s="27">
        <v>1</v>
      </c>
      <c r="X48" s="34">
        <f t="shared" si="12"/>
        <v>1</v>
      </c>
      <c r="Y48" s="26"/>
    </row>
    <row r="49" spans="1:25" ht="13" x14ac:dyDescent="0.15">
      <c r="A49" s="27" t="s">
        <v>76</v>
      </c>
      <c r="B49" s="27" t="s">
        <v>32</v>
      </c>
      <c r="C49" s="28">
        <v>2.59</v>
      </c>
      <c r="D49" s="27">
        <v>13</v>
      </c>
      <c r="E49" s="27">
        <v>3</v>
      </c>
      <c r="F49" s="27" t="s">
        <v>13</v>
      </c>
      <c r="G49" s="29">
        <f t="shared" si="0"/>
        <v>3.4664750957854404</v>
      </c>
      <c r="H49" s="30" t="s">
        <v>50</v>
      </c>
      <c r="I49" s="31">
        <v>18397</v>
      </c>
      <c r="J49" s="32">
        <v>0.71</v>
      </c>
      <c r="K49" s="27">
        <v>5</v>
      </c>
      <c r="L49" s="33">
        <f t="shared" si="1"/>
        <v>0.95402298850574707</v>
      </c>
      <c r="M49" s="29">
        <v>10.33</v>
      </c>
      <c r="N49" s="34">
        <f t="shared" si="2"/>
        <v>0.32183908045977011</v>
      </c>
      <c r="O49" s="27">
        <v>4</v>
      </c>
      <c r="P49" s="33">
        <f t="shared" si="3"/>
        <v>0.55555555555555558</v>
      </c>
      <c r="Q49" s="31">
        <v>789.5</v>
      </c>
      <c r="R49" s="34">
        <f t="shared" si="4"/>
        <v>0.54022988505747127</v>
      </c>
      <c r="S49" s="31">
        <v>466.38206156249998</v>
      </c>
      <c r="T49" s="34">
        <f t="shared" si="5"/>
        <v>0.22988505747126436</v>
      </c>
      <c r="U49" s="27">
        <v>2</v>
      </c>
      <c r="V49" s="34">
        <v>0.75</v>
      </c>
      <c r="W49" s="27">
        <v>2</v>
      </c>
      <c r="X49" s="32">
        <v>0.5</v>
      </c>
      <c r="Y49" s="26"/>
    </row>
    <row r="50" spans="1:25" ht="13" x14ac:dyDescent="0.15">
      <c r="A50" s="35" t="s">
        <v>77</v>
      </c>
      <c r="B50" s="35" t="s">
        <v>28</v>
      </c>
      <c r="C50" s="28">
        <v>2.59</v>
      </c>
      <c r="D50" s="35">
        <v>129</v>
      </c>
      <c r="E50" s="27">
        <v>1</v>
      </c>
      <c r="F50" s="35" t="s">
        <v>33</v>
      </c>
      <c r="G50" s="29">
        <f t="shared" si="0"/>
        <v>3.4683908045977012</v>
      </c>
      <c r="H50" s="36" t="s">
        <v>17</v>
      </c>
      <c r="I50" s="31">
        <v>17521</v>
      </c>
      <c r="J50" s="32">
        <v>0.79</v>
      </c>
      <c r="K50" s="35">
        <v>45</v>
      </c>
      <c r="L50" s="33">
        <f t="shared" si="1"/>
        <v>0.44827586206896552</v>
      </c>
      <c r="M50" s="37">
        <v>10.1</v>
      </c>
      <c r="N50" s="34">
        <f t="shared" si="2"/>
        <v>0.28735632183908044</v>
      </c>
      <c r="O50" s="35">
        <v>0</v>
      </c>
      <c r="P50" s="33">
        <f t="shared" si="3"/>
        <v>1</v>
      </c>
      <c r="Q50" s="31">
        <v>925</v>
      </c>
      <c r="R50" s="34">
        <f t="shared" si="4"/>
        <v>0.33333333333333331</v>
      </c>
      <c r="S50" s="31">
        <v>404.597379375</v>
      </c>
      <c r="T50" s="34">
        <f t="shared" si="5"/>
        <v>0.63218390804597702</v>
      </c>
      <c r="U50" s="35">
        <v>2</v>
      </c>
      <c r="V50" s="34">
        <v>0.75</v>
      </c>
      <c r="W50" s="35">
        <v>2</v>
      </c>
      <c r="X50" s="38">
        <v>0.5</v>
      </c>
      <c r="Y50" s="26"/>
    </row>
    <row r="51" spans="1:25" ht="13" x14ac:dyDescent="0.15">
      <c r="A51" s="27" t="s">
        <v>78</v>
      </c>
      <c r="B51" s="27" t="s">
        <v>11</v>
      </c>
      <c r="C51" s="28">
        <v>2.57</v>
      </c>
      <c r="D51" s="27">
        <v>108</v>
      </c>
      <c r="E51" s="27">
        <v>3</v>
      </c>
      <c r="F51" s="27" t="s">
        <v>22</v>
      </c>
      <c r="G51" s="29">
        <f t="shared" si="0"/>
        <v>3.9415708812260535</v>
      </c>
      <c r="H51" s="30" t="s">
        <v>50</v>
      </c>
      <c r="I51" s="31">
        <v>19132</v>
      </c>
      <c r="J51" s="32">
        <v>0.61</v>
      </c>
      <c r="K51" s="27">
        <v>14</v>
      </c>
      <c r="L51" s="33">
        <f t="shared" si="1"/>
        <v>0.85057471264367812</v>
      </c>
      <c r="M51" s="29">
        <v>10.6</v>
      </c>
      <c r="N51" s="34">
        <f t="shared" si="2"/>
        <v>0.34482758620689657</v>
      </c>
      <c r="O51" s="27">
        <v>2</v>
      </c>
      <c r="P51" s="33">
        <f t="shared" si="3"/>
        <v>0.77777777777777779</v>
      </c>
      <c r="Q51" s="31">
        <v>1070</v>
      </c>
      <c r="R51" s="34">
        <f t="shared" si="4"/>
        <v>0.20689655172413793</v>
      </c>
      <c r="S51" s="31">
        <v>466.38206156249998</v>
      </c>
      <c r="T51" s="34">
        <f t="shared" si="5"/>
        <v>0.22988505747126436</v>
      </c>
      <c r="U51" s="27">
        <v>2</v>
      </c>
      <c r="V51" s="34">
        <v>0.75</v>
      </c>
      <c r="W51" s="27">
        <v>1</v>
      </c>
      <c r="X51" s="34">
        <f t="shared" ref="X51:X54" si="13">100%</f>
        <v>1</v>
      </c>
      <c r="Y51" s="26"/>
    </row>
    <row r="52" spans="1:25" ht="13" x14ac:dyDescent="0.15">
      <c r="A52" s="27" t="s">
        <v>80</v>
      </c>
      <c r="B52" s="27" t="s">
        <v>35</v>
      </c>
      <c r="C52" s="28">
        <v>2.57</v>
      </c>
      <c r="D52" s="27">
        <v>73</v>
      </c>
      <c r="E52" s="27">
        <v>2</v>
      </c>
      <c r="F52" s="27" t="s">
        <v>18</v>
      </c>
      <c r="G52" s="29">
        <f t="shared" si="0"/>
        <v>3.9473180076628349</v>
      </c>
      <c r="H52" s="30" t="s">
        <v>12</v>
      </c>
      <c r="I52" s="31">
        <v>19886</v>
      </c>
      <c r="J52" s="32">
        <v>0.53</v>
      </c>
      <c r="K52" s="27">
        <v>39</v>
      </c>
      <c r="L52" s="33">
        <f t="shared" si="1"/>
        <v>0.55172413793103448</v>
      </c>
      <c r="M52" s="29">
        <v>11.27</v>
      </c>
      <c r="N52" s="34">
        <f t="shared" si="2"/>
        <v>0.44827586206896552</v>
      </c>
      <c r="O52" s="27">
        <v>2</v>
      </c>
      <c r="P52" s="33">
        <f t="shared" si="3"/>
        <v>0.77777777777777779</v>
      </c>
      <c r="Q52" s="31">
        <v>695</v>
      </c>
      <c r="R52" s="34">
        <f t="shared" si="4"/>
        <v>0.60919540229885061</v>
      </c>
      <c r="S52" s="31">
        <v>466.38206156249998</v>
      </c>
      <c r="T52" s="34">
        <f t="shared" si="5"/>
        <v>0.22988505747126436</v>
      </c>
      <c r="U52" s="27">
        <v>2</v>
      </c>
      <c r="V52" s="34">
        <v>0.75</v>
      </c>
      <c r="W52" s="27">
        <v>1</v>
      </c>
      <c r="X52" s="34">
        <f t="shared" si="13"/>
        <v>1</v>
      </c>
      <c r="Y52" s="26"/>
    </row>
    <row r="53" spans="1:25" ht="13" x14ac:dyDescent="0.15">
      <c r="A53" s="27" t="s">
        <v>79</v>
      </c>
      <c r="B53" s="27" t="s">
        <v>28</v>
      </c>
      <c r="C53" s="28">
        <v>2.57</v>
      </c>
      <c r="D53" s="27">
        <v>21</v>
      </c>
      <c r="E53" s="27">
        <v>1</v>
      </c>
      <c r="F53" s="27" t="s">
        <v>33</v>
      </c>
      <c r="G53" s="29">
        <f t="shared" si="0"/>
        <v>3.9473180076628349</v>
      </c>
      <c r="H53" s="30" t="s">
        <v>17</v>
      </c>
      <c r="I53" s="31">
        <v>18639</v>
      </c>
      <c r="J53" s="32">
        <v>0.67</v>
      </c>
      <c r="K53" s="27">
        <v>44</v>
      </c>
      <c r="L53" s="33">
        <f t="shared" si="1"/>
        <v>0.48275862068965519</v>
      </c>
      <c r="M53" s="29">
        <v>11.29</v>
      </c>
      <c r="N53" s="34">
        <f t="shared" si="2"/>
        <v>0.45977011494252873</v>
      </c>
      <c r="O53" s="27">
        <v>2</v>
      </c>
      <c r="P53" s="33">
        <f t="shared" si="3"/>
        <v>0.77777777777777779</v>
      </c>
      <c r="Q53" s="31">
        <v>1016.55555555556</v>
      </c>
      <c r="R53" s="34">
        <f t="shared" si="4"/>
        <v>0.27586206896551724</v>
      </c>
      <c r="S53" s="31">
        <v>324.43969499999997</v>
      </c>
      <c r="T53" s="34">
        <f t="shared" si="5"/>
        <v>0.67816091954022983</v>
      </c>
      <c r="U53" s="27">
        <v>2</v>
      </c>
      <c r="V53" s="34">
        <v>0.75</v>
      </c>
      <c r="W53" s="27">
        <v>1</v>
      </c>
      <c r="X53" s="34">
        <f t="shared" si="13"/>
        <v>1</v>
      </c>
      <c r="Y53" s="26"/>
    </row>
    <row r="54" spans="1:25" ht="13" x14ac:dyDescent="0.15">
      <c r="A54" s="27" t="s">
        <v>81</v>
      </c>
      <c r="B54" s="27" t="s">
        <v>39</v>
      </c>
      <c r="C54" s="28">
        <v>2.54</v>
      </c>
      <c r="D54" s="27">
        <v>41</v>
      </c>
      <c r="E54" s="27">
        <v>1</v>
      </c>
      <c r="F54" s="27" t="s">
        <v>57</v>
      </c>
      <c r="G54" s="29">
        <f t="shared" si="0"/>
        <v>3.9185823754789273</v>
      </c>
      <c r="H54" s="30" t="s">
        <v>17</v>
      </c>
      <c r="I54" s="31">
        <v>18328</v>
      </c>
      <c r="J54" s="32">
        <v>0.74</v>
      </c>
      <c r="K54" s="27">
        <v>71</v>
      </c>
      <c r="L54" s="33">
        <f t="shared" si="1"/>
        <v>0.11494252873563218</v>
      </c>
      <c r="M54" s="29">
        <v>11.43</v>
      </c>
      <c r="N54" s="34">
        <f t="shared" si="2"/>
        <v>0.48275862068965519</v>
      </c>
      <c r="O54" s="27">
        <v>2</v>
      </c>
      <c r="P54" s="33">
        <f t="shared" si="3"/>
        <v>0.77777777777777779</v>
      </c>
      <c r="Q54" s="31">
        <v>489.5</v>
      </c>
      <c r="R54" s="34">
        <f t="shared" si="4"/>
        <v>0.90804597701149425</v>
      </c>
      <c r="S54" s="31">
        <v>324.43969499999997</v>
      </c>
      <c r="T54" s="34">
        <f t="shared" si="5"/>
        <v>0.67816091954022983</v>
      </c>
      <c r="U54" s="27">
        <v>2</v>
      </c>
      <c r="V54" s="34">
        <v>0.75</v>
      </c>
      <c r="W54" s="27">
        <v>1</v>
      </c>
      <c r="X54" s="34">
        <f t="shared" si="13"/>
        <v>1</v>
      </c>
      <c r="Y54" s="26"/>
    </row>
    <row r="55" spans="1:25" ht="13" x14ac:dyDescent="0.15">
      <c r="A55" s="27" t="s">
        <v>82</v>
      </c>
      <c r="B55" s="27" t="s">
        <v>39</v>
      </c>
      <c r="C55" s="28">
        <v>2.5099999999999998</v>
      </c>
      <c r="D55" s="27">
        <v>93</v>
      </c>
      <c r="E55" s="27">
        <v>2</v>
      </c>
      <c r="F55" s="27" t="s">
        <v>57</v>
      </c>
      <c r="G55" s="29">
        <f t="shared" si="0"/>
        <v>3.382183908045977</v>
      </c>
      <c r="H55" s="30" t="s">
        <v>12</v>
      </c>
      <c r="I55" s="31">
        <v>22096</v>
      </c>
      <c r="J55" s="32">
        <v>0.18</v>
      </c>
      <c r="K55" s="27">
        <v>79</v>
      </c>
      <c r="L55" s="33">
        <f t="shared" si="1"/>
        <v>2.2988505747126436E-2</v>
      </c>
      <c r="M55" s="29">
        <v>13.58</v>
      </c>
      <c r="N55" s="34">
        <f t="shared" si="2"/>
        <v>0.94252873563218387</v>
      </c>
      <c r="O55" s="27">
        <v>3</v>
      </c>
      <c r="P55" s="33">
        <f t="shared" si="3"/>
        <v>0.66666666666666674</v>
      </c>
      <c r="Q55" s="31">
        <v>940</v>
      </c>
      <c r="R55" s="34">
        <f t="shared" si="4"/>
        <v>0.32183908045977011</v>
      </c>
      <c r="S55" s="31">
        <v>324.43969499999997</v>
      </c>
      <c r="T55" s="34">
        <f t="shared" si="5"/>
        <v>0.67816091954022983</v>
      </c>
      <c r="U55" s="27">
        <v>2</v>
      </c>
      <c r="V55" s="34">
        <v>0.75</v>
      </c>
      <c r="W55" s="27">
        <v>2</v>
      </c>
      <c r="X55" s="32">
        <v>0.5</v>
      </c>
      <c r="Y55" s="26"/>
    </row>
    <row r="56" spans="1:25" ht="13" x14ac:dyDescent="0.15">
      <c r="A56" s="27" t="s">
        <v>83</v>
      </c>
      <c r="B56" s="27" t="s">
        <v>28</v>
      </c>
      <c r="C56" s="28">
        <v>2.4900000000000002</v>
      </c>
      <c r="D56" s="27">
        <v>65</v>
      </c>
      <c r="E56" s="27">
        <v>1</v>
      </c>
      <c r="F56" s="27" t="s">
        <v>36</v>
      </c>
      <c r="G56" s="29">
        <f t="shared" si="0"/>
        <v>2.8649425287356323</v>
      </c>
      <c r="H56" s="30" t="s">
        <v>17</v>
      </c>
      <c r="I56" s="31">
        <v>16463</v>
      </c>
      <c r="J56" s="32">
        <v>0.86</v>
      </c>
      <c r="K56" s="27">
        <v>60</v>
      </c>
      <c r="L56" s="33">
        <f t="shared" si="1"/>
        <v>0.2413793103448276</v>
      </c>
      <c r="M56" s="29">
        <v>10.02</v>
      </c>
      <c r="N56" s="34">
        <f t="shared" si="2"/>
        <v>0.27586206896551724</v>
      </c>
      <c r="O56" s="27">
        <v>0</v>
      </c>
      <c r="P56" s="33">
        <f t="shared" si="3"/>
        <v>1</v>
      </c>
      <c r="Q56" s="31">
        <v>800</v>
      </c>
      <c r="R56" s="34">
        <f t="shared" si="4"/>
        <v>0.51724137931034486</v>
      </c>
      <c r="S56" s="31">
        <v>324.43969499999997</v>
      </c>
      <c r="T56" s="34">
        <f t="shared" si="5"/>
        <v>0.67816091954022983</v>
      </c>
      <c r="U56" s="27">
        <v>2</v>
      </c>
      <c r="V56" s="34">
        <v>0.75</v>
      </c>
      <c r="W56" s="27">
        <v>3</v>
      </c>
      <c r="X56" s="32">
        <v>0</v>
      </c>
      <c r="Y56" s="26"/>
    </row>
    <row r="57" spans="1:25" ht="13" x14ac:dyDescent="0.15">
      <c r="A57" s="27" t="s">
        <v>84</v>
      </c>
      <c r="B57" s="27" t="s">
        <v>16</v>
      </c>
      <c r="C57" s="28">
        <v>2.48</v>
      </c>
      <c r="D57" s="27">
        <v>76</v>
      </c>
      <c r="E57" s="27">
        <v>2</v>
      </c>
      <c r="F57" s="27" t="s">
        <v>33</v>
      </c>
      <c r="G57" s="29">
        <f t="shared" si="0"/>
        <v>3.8572796934865901</v>
      </c>
      <c r="H57" s="30" t="s">
        <v>12</v>
      </c>
      <c r="I57" s="31">
        <v>21650</v>
      </c>
      <c r="J57" s="32">
        <v>0.25</v>
      </c>
      <c r="K57" s="27">
        <v>49</v>
      </c>
      <c r="L57" s="33">
        <f t="shared" si="1"/>
        <v>0.36781609195402298</v>
      </c>
      <c r="M57" s="29">
        <v>12.05</v>
      </c>
      <c r="N57" s="34">
        <f t="shared" si="2"/>
        <v>0.65517241379310343</v>
      </c>
      <c r="O57" s="27">
        <v>1</v>
      </c>
      <c r="P57" s="33">
        <f t="shared" si="3"/>
        <v>0.88888888888888884</v>
      </c>
      <c r="Q57" s="31">
        <v>1144.9000000000001</v>
      </c>
      <c r="R57" s="34">
        <f t="shared" si="4"/>
        <v>0.16091954022988506</v>
      </c>
      <c r="S57" s="31">
        <v>466.38206156249998</v>
      </c>
      <c r="T57" s="34">
        <f t="shared" si="5"/>
        <v>0.22988505747126436</v>
      </c>
      <c r="U57" s="27">
        <v>2</v>
      </c>
      <c r="V57" s="34">
        <v>0.75</v>
      </c>
      <c r="W57" s="27">
        <v>1</v>
      </c>
      <c r="X57" s="34">
        <f t="shared" ref="X57:X58" si="14">100%</f>
        <v>1</v>
      </c>
      <c r="Y57" s="26"/>
    </row>
    <row r="58" spans="1:25" ht="13" x14ac:dyDescent="0.15">
      <c r="A58" s="27" t="s">
        <v>85</v>
      </c>
      <c r="B58" s="27" t="s">
        <v>11</v>
      </c>
      <c r="C58" s="28">
        <v>2.4700000000000002</v>
      </c>
      <c r="D58" s="27">
        <v>83</v>
      </c>
      <c r="E58" s="27">
        <v>3</v>
      </c>
      <c r="F58" s="27" t="s">
        <v>18</v>
      </c>
      <c r="G58" s="29">
        <f t="shared" si="0"/>
        <v>3.8400383141762453</v>
      </c>
      <c r="H58" s="30" t="s">
        <v>50</v>
      </c>
      <c r="I58" s="31">
        <v>18959</v>
      </c>
      <c r="J58" s="32">
        <v>0.64</v>
      </c>
      <c r="K58" s="27">
        <v>29</v>
      </c>
      <c r="L58" s="33">
        <f t="shared" si="1"/>
        <v>0.72413793103448276</v>
      </c>
      <c r="M58" s="29">
        <v>10.34</v>
      </c>
      <c r="N58" s="34">
        <f t="shared" si="2"/>
        <v>0.33333333333333331</v>
      </c>
      <c r="O58" s="27">
        <v>1</v>
      </c>
      <c r="P58" s="33">
        <f t="shared" si="3"/>
        <v>0.88888888888888884</v>
      </c>
      <c r="Q58" s="31">
        <v>1335</v>
      </c>
      <c r="R58" s="34">
        <f t="shared" si="4"/>
        <v>5.7471264367816091E-2</v>
      </c>
      <c r="S58" s="31">
        <v>466.38206156249998</v>
      </c>
      <c r="T58" s="34">
        <f t="shared" si="5"/>
        <v>0.22988505747126436</v>
      </c>
      <c r="U58" s="27">
        <v>2</v>
      </c>
      <c r="V58" s="34">
        <v>0.75</v>
      </c>
      <c r="W58" s="27">
        <v>1</v>
      </c>
      <c r="X58" s="34">
        <f t="shared" si="14"/>
        <v>1</v>
      </c>
      <c r="Y58" s="26"/>
    </row>
    <row r="59" spans="1:25" ht="13" x14ac:dyDescent="0.15">
      <c r="A59" s="35" t="s">
        <v>86</v>
      </c>
      <c r="B59" s="35" t="s">
        <v>11</v>
      </c>
      <c r="C59" s="28">
        <v>2.4500000000000002</v>
      </c>
      <c r="D59" s="35">
        <v>25</v>
      </c>
      <c r="E59" s="27">
        <v>1</v>
      </c>
      <c r="F59" s="35" t="s">
        <v>22</v>
      </c>
      <c r="G59" s="29">
        <f t="shared" si="0"/>
        <v>3.8247126436781609</v>
      </c>
      <c r="H59" s="36" t="s">
        <v>17</v>
      </c>
      <c r="I59" s="31">
        <v>23978</v>
      </c>
      <c r="J59" s="32">
        <v>0.13</v>
      </c>
      <c r="K59" s="35">
        <v>11</v>
      </c>
      <c r="L59" s="33">
        <f t="shared" si="1"/>
        <v>0.88505747126436785</v>
      </c>
      <c r="M59" s="37">
        <v>12.25</v>
      </c>
      <c r="N59" s="34">
        <f t="shared" si="2"/>
        <v>0.68965517241379315</v>
      </c>
      <c r="O59" s="35">
        <v>9</v>
      </c>
      <c r="P59" s="33">
        <f t="shared" si="3"/>
        <v>0</v>
      </c>
      <c r="Q59" s="31">
        <v>586.5</v>
      </c>
      <c r="R59" s="34">
        <f t="shared" si="4"/>
        <v>0.7931034482758621</v>
      </c>
      <c r="S59" s="31">
        <v>674.32896562500002</v>
      </c>
      <c r="T59" s="34">
        <f t="shared" si="5"/>
        <v>0.20689655172413793</v>
      </c>
      <c r="U59" s="35">
        <v>2</v>
      </c>
      <c r="V59" s="34">
        <v>0.75</v>
      </c>
      <c r="W59" s="35">
        <v>1</v>
      </c>
      <c r="X59" s="38">
        <v>1</v>
      </c>
      <c r="Y59" s="26"/>
    </row>
    <row r="60" spans="1:25" ht="13" x14ac:dyDescent="0.15">
      <c r="A60" s="27" t="s">
        <v>87</v>
      </c>
      <c r="B60" s="27" t="s">
        <v>21</v>
      </c>
      <c r="C60" s="28">
        <v>2.44</v>
      </c>
      <c r="D60" s="27">
        <v>133</v>
      </c>
      <c r="E60" s="27">
        <v>2</v>
      </c>
      <c r="F60" s="27" t="s">
        <v>18</v>
      </c>
      <c r="G60" s="29">
        <f t="shared" si="0"/>
        <v>3.8132183908045976</v>
      </c>
      <c r="H60" s="30" t="s">
        <v>12</v>
      </c>
      <c r="I60" s="31">
        <v>18084</v>
      </c>
      <c r="J60" s="32">
        <v>0.75</v>
      </c>
      <c r="K60" s="27">
        <v>37</v>
      </c>
      <c r="L60" s="33">
        <f t="shared" si="1"/>
        <v>0.56321839080459768</v>
      </c>
      <c r="M60" s="29">
        <v>10</v>
      </c>
      <c r="N60" s="34">
        <f t="shared" si="2"/>
        <v>0.25287356321839083</v>
      </c>
      <c r="O60" s="27">
        <v>0</v>
      </c>
      <c r="P60" s="33">
        <f t="shared" si="3"/>
        <v>1</v>
      </c>
      <c r="Q60" s="31">
        <v>1033.3333333333301</v>
      </c>
      <c r="R60" s="34">
        <f t="shared" si="4"/>
        <v>0.26436781609195403</v>
      </c>
      <c r="S60" s="31">
        <v>466.38206156249998</v>
      </c>
      <c r="T60" s="34">
        <f t="shared" si="5"/>
        <v>0.22988505747126436</v>
      </c>
      <c r="U60" s="27">
        <v>2</v>
      </c>
      <c r="V60" s="34">
        <v>0.75</v>
      </c>
      <c r="W60" s="27">
        <v>1</v>
      </c>
      <c r="X60" s="34">
        <f t="shared" ref="X60:X62" si="15">100%</f>
        <v>1</v>
      </c>
      <c r="Y60" s="26"/>
    </row>
    <row r="61" spans="1:25" ht="13" x14ac:dyDescent="0.15">
      <c r="A61" s="27" t="s">
        <v>88</v>
      </c>
      <c r="B61" s="27" t="s">
        <v>16</v>
      </c>
      <c r="C61" s="28">
        <v>2.42</v>
      </c>
      <c r="D61" s="27">
        <v>160</v>
      </c>
      <c r="E61" s="27">
        <v>1</v>
      </c>
      <c r="F61" s="27" t="s">
        <v>36</v>
      </c>
      <c r="G61" s="29">
        <f t="shared" si="0"/>
        <v>3.6666666666666665</v>
      </c>
      <c r="H61" s="30" t="s">
        <v>17</v>
      </c>
      <c r="I61" s="31">
        <v>21633</v>
      </c>
      <c r="J61" s="32">
        <v>0.26</v>
      </c>
      <c r="K61" s="27">
        <v>62</v>
      </c>
      <c r="L61" s="33">
        <f t="shared" si="1"/>
        <v>0.21839080459770116</v>
      </c>
      <c r="M61" s="29">
        <v>12.17</v>
      </c>
      <c r="N61" s="34">
        <f t="shared" si="2"/>
        <v>0.66666666666666663</v>
      </c>
      <c r="O61" s="27">
        <v>0</v>
      </c>
      <c r="P61" s="33">
        <f t="shared" si="3"/>
        <v>1</v>
      </c>
      <c r="Q61" s="31">
        <v>925</v>
      </c>
      <c r="R61" s="34">
        <f t="shared" si="4"/>
        <v>0.33333333333333331</v>
      </c>
      <c r="S61" s="31">
        <v>466.38206156249998</v>
      </c>
      <c r="T61" s="34">
        <f t="shared" si="5"/>
        <v>0.22988505747126436</v>
      </c>
      <c r="U61" s="27">
        <v>1</v>
      </c>
      <c r="V61" s="34">
        <v>0.5</v>
      </c>
      <c r="W61" s="27">
        <v>1</v>
      </c>
      <c r="X61" s="34">
        <f t="shared" si="15"/>
        <v>1</v>
      </c>
      <c r="Y61" s="26"/>
    </row>
    <row r="62" spans="1:25" ht="13" x14ac:dyDescent="0.15">
      <c r="A62" s="27" t="s">
        <v>89</v>
      </c>
      <c r="B62" s="27" t="s">
        <v>39</v>
      </c>
      <c r="C62" s="28">
        <v>2.41</v>
      </c>
      <c r="D62" s="27">
        <v>117</v>
      </c>
      <c r="E62" s="27">
        <v>2</v>
      </c>
      <c r="F62" s="27" t="s">
        <v>33</v>
      </c>
      <c r="G62" s="29">
        <f t="shared" si="0"/>
        <v>3.6551724137931036</v>
      </c>
      <c r="H62" s="30" t="s">
        <v>12</v>
      </c>
      <c r="I62" s="31">
        <v>24866</v>
      </c>
      <c r="J62" s="32">
        <v>7.0000000000000007E-2</v>
      </c>
      <c r="K62" s="27">
        <v>43</v>
      </c>
      <c r="L62" s="33">
        <f t="shared" si="1"/>
        <v>0.4942528735632184</v>
      </c>
      <c r="M62" s="29">
        <v>12</v>
      </c>
      <c r="N62" s="34">
        <f t="shared" si="2"/>
        <v>0.60919540229885061</v>
      </c>
      <c r="O62" s="27">
        <v>0</v>
      </c>
      <c r="P62" s="33">
        <f t="shared" si="3"/>
        <v>1</v>
      </c>
      <c r="Q62" s="31">
        <v>1525</v>
      </c>
      <c r="R62" s="34">
        <f t="shared" si="4"/>
        <v>4.5977011494252873E-2</v>
      </c>
      <c r="S62" s="31">
        <v>709.71183281250001</v>
      </c>
      <c r="T62" s="34">
        <f t="shared" si="5"/>
        <v>5.7471264367816091E-2</v>
      </c>
      <c r="U62" s="27">
        <v>1</v>
      </c>
      <c r="V62" s="34">
        <v>0.5</v>
      </c>
      <c r="W62" s="27">
        <v>1</v>
      </c>
      <c r="X62" s="34">
        <f t="shared" si="15"/>
        <v>1</v>
      </c>
      <c r="Y62" s="26"/>
    </row>
    <row r="63" spans="1:25" ht="13" x14ac:dyDescent="0.15">
      <c r="A63" s="35" t="s">
        <v>90</v>
      </c>
      <c r="B63" s="35" t="s">
        <v>32</v>
      </c>
      <c r="C63" s="28">
        <v>2.38</v>
      </c>
      <c r="D63" s="35">
        <v>95</v>
      </c>
      <c r="E63" s="27">
        <v>3</v>
      </c>
      <c r="F63" s="35" t="s">
        <v>18</v>
      </c>
      <c r="G63" s="29">
        <f t="shared" si="0"/>
        <v>3.1302681992337162</v>
      </c>
      <c r="H63" s="36" t="s">
        <v>50</v>
      </c>
      <c r="I63" s="31">
        <v>26686</v>
      </c>
      <c r="J63" s="32">
        <v>0.01</v>
      </c>
      <c r="K63" s="35">
        <v>28</v>
      </c>
      <c r="L63" s="33">
        <f t="shared" si="1"/>
        <v>0.73563218390804597</v>
      </c>
      <c r="M63" s="37">
        <v>10</v>
      </c>
      <c r="N63" s="34">
        <f t="shared" si="2"/>
        <v>0.25287356321839083</v>
      </c>
      <c r="O63" s="35">
        <v>1</v>
      </c>
      <c r="P63" s="33">
        <f t="shared" si="3"/>
        <v>0.88888888888888884</v>
      </c>
      <c r="Q63" s="31">
        <v>810</v>
      </c>
      <c r="R63" s="34">
        <f t="shared" si="4"/>
        <v>0.4942528735632184</v>
      </c>
      <c r="S63" s="31">
        <v>1348.65793125</v>
      </c>
      <c r="T63" s="34">
        <f t="shared" si="5"/>
        <v>1.1494252873563218E-2</v>
      </c>
      <c r="U63" s="35">
        <v>1</v>
      </c>
      <c r="V63" s="34">
        <v>0.5</v>
      </c>
      <c r="W63" s="35">
        <v>2</v>
      </c>
      <c r="X63" s="38">
        <v>0.5</v>
      </c>
      <c r="Y63" s="26"/>
    </row>
    <row r="64" spans="1:25" ht="13" x14ac:dyDescent="0.15">
      <c r="A64" s="27" t="s">
        <v>91</v>
      </c>
      <c r="B64" s="27" t="s">
        <v>39</v>
      </c>
      <c r="C64" s="28">
        <v>2.29</v>
      </c>
      <c r="D64" s="27">
        <v>140</v>
      </c>
      <c r="E64" s="27">
        <v>3</v>
      </c>
      <c r="F64" s="27" t="s">
        <v>33</v>
      </c>
      <c r="G64" s="29">
        <f t="shared" si="0"/>
        <v>3.6676245210727969</v>
      </c>
      <c r="H64" s="30" t="s">
        <v>50</v>
      </c>
      <c r="I64" s="31">
        <v>15819</v>
      </c>
      <c r="J64" s="32">
        <v>0.92</v>
      </c>
      <c r="K64" s="27">
        <v>46</v>
      </c>
      <c r="L64" s="33">
        <f t="shared" si="1"/>
        <v>0.42528735632183906</v>
      </c>
      <c r="M64" s="29">
        <v>9.36</v>
      </c>
      <c r="N64" s="34">
        <f t="shared" si="2"/>
        <v>0.19540229885057472</v>
      </c>
      <c r="O64" s="27">
        <v>1</v>
      </c>
      <c r="P64" s="33">
        <f t="shared" si="3"/>
        <v>0.88888888888888884</v>
      </c>
      <c r="Q64" s="31">
        <v>1175</v>
      </c>
      <c r="R64" s="34">
        <f t="shared" si="4"/>
        <v>0.13793103448275862</v>
      </c>
      <c r="S64" s="31">
        <v>324.43969499999997</v>
      </c>
      <c r="T64" s="34">
        <f t="shared" si="5"/>
        <v>0.67816091954022983</v>
      </c>
      <c r="U64" s="27">
        <v>2</v>
      </c>
      <c r="V64" s="34">
        <v>0.75</v>
      </c>
      <c r="W64" s="27">
        <v>1</v>
      </c>
      <c r="X64" s="34">
        <f>100%</f>
        <v>1</v>
      </c>
      <c r="Y64" s="26"/>
    </row>
    <row r="65" spans="1:25" ht="13" x14ac:dyDescent="0.15">
      <c r="A65" s="27" t="s">
        <v>92</v>
      </c>
      <c r="B65" s="27" t="s">
        <v>16</v>
      </c>
      <c r="C65" s="28">
        <v>2.27</v>
      </c>
      <c r="D65" s="27">
        <v>54</v>
      </c>
      <c r="E65" s="27">
        <v>1</v>
      </c>
      <c r="F65" s="27" t="s">
        <v>36</v>
      </c>
      <c r="G65" s="29">
        <f t="shared" si="0"/>
        <v>3.0153256704980844</v>
      </c>
      <c r="H65" s="30" t="s">
        <v>17</v>
      </c>
      <c r="I65" s="31">
        <v>17525</v>
      </c>
      <c r="J65" s="32">
        <v>0.78</v>
      </c>
      <c r="K65" s="27">
        <v>65</v>
      </c>
      <c r="L65" s="33">
        <f t="shared" si="1"/>
        <v>0.18390804597701149</v>
      </c>
      <c r="M65" s="29">
        <v>10.69</v>
      </c>
      <c r="N65" s="34">
        <f t="shared" si="2"/>
        <v>0.36781609195402298</v>
      </c>
      <c r="O65" s="27">
        <v>1</v>
      </c>
      <c r="P65" s="33">
        <f t="shared" si="3"/>
        <v>0.88888888888888884</v>
      </c>
      <c r="Q65" s="31">
        <v>829</v>
      </c>
      <c r="R65" s="34">
        <f t="shared" si="4"/>
        <v>0.47126436781609193</v>
      </c>
      <c r="S65" s="31">
        <v>324.43969499999997</v>
      </c>
      <c r="T65" s="34">
        <f t="shared" si="5"/>
        <v>0.67816091954022983</v>
      </c>
      <c r="U65" s="27">
        <v>1</v>
      </c>
      <c r="V65" s="34">
        <v>0.5</v>
      </c>
      <c r="W65" s="27">
        <v>2</v>
      </c>
      <c r="X65" s="32">
        <v>0.5</v>
      </c>
      <c r="Y65" s="26"/>
    </row>
    <row r="66" spans="1:25" ht="13" x14ac:dyDescent="0.15">
      <c r="A66" s="27" t="s">
        <v>93</v>
      </c>
      <c r="B66" s="27" t="s">
        <v>32</v>
      </c>
      <c r="C66" s="28">
        <v>2.2400000000000002</v>
      </c>
      <c r="D66" s="27">
        <v>10</v>
      </c>
      <c r="E66" s="27">
        <v>3</v>
      </c>
      <c r="F66" s="27" t="s">
        <v>13</v>
      </c>
      <c r="G66" s="29">
        <f t="shared" si="0"/>
        <v>3.117816091954023</v>
      </c>
      <c r="H66" s="30" t="s">
        <v>50</v>
      </c>
      <c r="I66" s="31">
        <v>18886</v>
      </c>
      <c r="J66" s="32">
        <v>0.66</v>
      </c>
      <c r="K66" s="27">
        <v>9</v>
      </c>
      <c r="L66" s="33">
        <f t="shared" si="1"/>
        <v>0.90804597701149425</v>
      </c>
      <c r="M66" s="29">
        <v>9.11</v>
      </c>
      <c r="N66" s="34">
        <f t="shared" si="2"/>
        <v>0.17241379310344829</v>
      </c>
      <c r="O66" s="27">
        <v>3</v>
      </c>
      <c r="P66" s="33">
        <f t="shared" si="3"/>
        <v>0.66666666666666674</v>
      </c>
      <c r="Q66" s="31">
        <v>1117.5</v>
      </c>
      <c r="R66" s="34">
        <f t="shared" si="4"/>
        <v>0.18390804597701149</v>
      </c>
      <c r="S66" s="31">
        <v>709.71183281250001</v>
      </c>
      <c r="T66" s="34">
        <f t="shared" si="5"/>
        <v>5.7471264367816091E-2</v>
      </c>
      <c r="U66" s="27">
        <v>2</v>
      </c>
      <c r="V66" s="34">
        <v>0.75</v>
      </c>
      <c r="W66" s="27">
        <v>2</v>
      </c>
      <c r="X66" s="32">
        <v>0.5</v>
      </c>
      <c r="Y66" s="26"/>
    </row>
    <row r="67" spans="1:25" ht="13" x14ac:dyDescent="0.15">
      <c r="A67" s="27" t="s">
        <v>94</v>
      </c>
      <c r="B67" s="27" t="s">
        <v>16</v>
      </c>
      <c r="C67" s="28">
        <v>2.13</v>
      </c>
      <c r="D67" s="27">
        <v>124</v>
      </c>
      <c r="E67" s="27">
        <v>2</v>
      </c>
      <c r="F67" s="27" t="s">
        <v>18</v>
      </c>
      <c r="G67" s="29">
        <f t="shared" si="0"/>
        <v>2.8773946360153255</v>
      </c>
      <c r="H67" s="30" t="s">
        <v>12</v>
      </c>
      <c r="I67" s="31">
        <v>17240</v>
      </c>
      <c r="J67" s="32">
        <v>0.83</v>
      </c>
      <c r="K67" s="27">
        <v>35</v>
      </c>
      <c r="L67" s="33">
        <f t="shared" si="1"/>
        <v>0.60919540229885061</v>
      </c>
      <c r="M67" s="29">
        <v>9.4</v>
      </c>
      <c r="N67" s="34">
        <f t="shared" si="2"/>
        <v>0.20689655172413793</v>
      </c>
      <c r="O67" s="27">
        <v>1</v>
      </c>
      <c r="P67" s="33">
        <f t="shared" si="3"/>
        <v>0.88888888888888884</v>
      </c>
      <c r="Q67" s="31">
        <v>1200</v>
      </c>
      <c r="R67" s="34">
        <f t="shared" si="4"/>
        <v>0.11494252873563218</v>
      </c>
      <c r="S67" s="31">
        <v>466.38206156249998</v>
      </c>
      <c r="T67" s="34">
        <f t="shared" si="5"/>
        <v>0.22988505747126436</v>
      </c>
      <c r="U67" s="27">
        <v>1</v>
      </c>
      <c r="V67" s="34">
        <v>0.5</v>
      </c>
      <c r="W67" s="27">
        <v>2</v>
      </c>
      <c r="X67" s="32">
        <v>0.5</v>
      </c>
      <c r="Y67" s="26"/>
    </row>
    <row r="68" spans="1:25" ht="13" x14ac:dyDescent="0.15">
      <c r="A68" s="27" t="s">
        <v>95</v>
      </c>
      <c r="B68" s="27" t="s">
        <v>39</v>
      </c>
      <c r="C68" s="28">
        <v>2.08</v>
      </c>
      <c r="D68" s="27">
        <v>88</v>
      </c>
      <c r="E68" s="27">
        <v>3</v>
      </c>
      <c r="F68" s="27" t="s">
        <v>57</v>
      </c>
      <c r="G68" s="29">
        <f t="shared" si="0"/>
        <v>3.3275862068965516</v>
      </c>
      <c r="H68" s="30" t="s">
        <v>50</v>
      </c>
      <c r="I68" s="31">
        <v>24077</v>
      </c>
      <c r="J68" s="32">
        <v>0.11</v>
      </c>
      <c r="K68" s="27">
        <v>80</v>
      </c>
      <c r="L68" s="33">
        <f t="shared" si="1"/>
        <v>1.1494252873563218E-2</v>
      </c>
      <c r="M68" s="29">
        <v>11.92</v>
      </c>
      <c r="N68" s="34">
        <f t="shared" si="2"/>
        <v>0.58620689655172409</v>
      </c>
      <c r="O68" s="27">
        <v>0</v>
      </c>
      <c r="P68" s="33">
        <f t="shared" si="3"/>
        <v>1</v>
      </c>
      <c r="Q68" s="31">
        <v>890</v>
      </c>
      <c r="R68" s="34">
        <f t="shared" si="4"/>
        <v>0.40229885057471265</v>
      </c>
      <c r="S68" s="31">
        <v>709.71183281250001</v>
      </c>
      <c r="T68" s="34">
        <f t="shared" si="5"/>
        <v>5.7471264367816091E-2</v>
      </c>
      <c r="U68" s="27">
        <v>1</v>
      </c>
      <c r="V68" s="34">
        <v>0.5</v>
      </c>
      <c r="W68" s="27">
        <v>1</v>
      </c>
      <c r="X68" s="34">
        <f t="shared" ref="X68:X69" si="16">100%</f>
        <v>1</v>
      </c>
      <c r="Y68" s="26"/>
    </row>
    <row r="69" spans="1:25" ht="13" x14ac:dyDescent="0.15">
      <c r="A69" s="27" t="s">
        <v>96</v>
      </c>
      <c r="B69" s="27" t="s">
        <v>32</v>
      </c>
      <c r="C69" s="28">
        <v>2.0699999999999998</v>
      </c>
      <c r="D69" s="27">
        <v>43</v>
      </c>
      <c r="E69" s="27">
        <v>3</v>
      </c>
      <c r="F69" s="27" t="s">
        <v>18</v>
      </c>
      <c r="G69" s="29">
        <f t="shared" si="0"/>
        <v>3.4473180076628354</v>
      </c>
      <c r="H69" s="30" t="s">
        <v>50</v>
      </c>
      <c r="I69" s="31">
        <v>19351</v>
      </c>
      <c r="J69" s="32">
        <v>0.6</v>
      </c>
      <c r="K69" s="27">
        <v>34</v>
      </c>
      <c r="L69" s="33">
        <f t="shared" si="1"/>
        <v>0.64367816091954022</v>
      </c>
      <c r="M69" s="29">
        <v>9.32</v>
      </c>
      <c r="N69" s="34">
        <f t="shared" si="2"/>
        <v>0.18390804597701149</v>
      </c>
      <c r="O69" s="27">
        <v>2</v>
      </c>
      <c r="P69" s="33">
        <f t="shared" si="3"/>
        <v>0.77777777777777779</v>
      </c>
      <c r="Q69" s="31">
        <v>1177.5</v>
      </c>
      <c r="R69" s="34">
        <f t="shared" si="4"/>
        <v>0.12643678160919541</v>
      </c>
      <c r="S69" s="31">
        <v>709.71183281250001</v>
      </c>
      <c r="T69" s="34">
        <f t="shared" si="5"/>
        <v>5.7471264367816091E-2</v>
      </c>
      <c r="U69" s="27">
        <v>2</v>
      </c>
      <c r="V69" s="34">
        <v>0.75</v>
      </c>
      <c r="W69" s="27">
        <v>1</v>
      </c>
      <c r="X69" s="34">
        <f t="shared" si="16"/>
        <v>1</v>
      </c>
      <c r="Y69" s="26"/>
    </row>
    <row r="70" spans="1:25" ht="13" x14ac:dyDescent="0.15">
      <c r="A70" s="27" t="s">
        <v>97</v>
      </c>
      <c r="B70" s="27" t="s">
        <v>11</v>
      </c>
      <c r="C70" s="28">
        <v>2.06</v>
      </c>
      <c r="D70" s="27">
        <v>2</v>
      </c>
      <c r="E70" s="27">
        <v>3</v>
      </c>
      <c r="F70" s="27" t="s">
        <v>13</v>
      </c>
      <c r="G70" s="29">
        <f t="shared" si="0"/>
        <v>2.935823754789272</v>
      </c>
      <c r="H70" s="30" t="s">
        <v>50</v>
      </c>
      <c r="I70" s="31">
        <v>17416</v>
      </c>
      <c r="J70" s="32">
        <v>0.8</v>
      </c>
      <c r="K70" s="27">
        <v>3</v>
      </c>
      <c r="L70" s="33">
        <f t="shared" si="1"/>
        <v>0.97701149425287359</v>
      </c>
      <c r="M70" s="29">
        <v>9.73</v>
      </c>
      <c r="N70" s="34">
        <f t="shared" si="2"/>
        <v>0.2413793103448276</v>
      </c>
      <c r="O70" s="27">
        <v>8</v>
      </c>
      <c r="P70" s="33">
        <f t="shared" si="3"/>
        <v>0.11111111111111116</v>
      </c>
      <c r="Q70" s="31">
        <v>819.5</v>
      </c>
      <c r="R70" s="34">
        <f t="shared" si="4"/>
        <v>0.48275862068965519</v>
      </c>
      <c r="S70" s="31">
        <v>466.38206156249998</v>
      </c>
      <c r="T70" s="34">
        <f t="shared" si="5"/>
        <v>0.22988505747126436</v>
      </c>
      <c r="U70" s="27">
        <v>2</v>
      </c>
      <c r="V70" s="34">
        <v>0.75</v>
      </c>
      <c r="W70" s="27">
        <v>2</v>
      </c>
      <c r="X70" s="32">
        <v>0.5</v>
      </c>
      <c r="Y70" s="26"/>
    </row>
    <row r="71" spans="1:25" ht="13" x14ac:dyDescent="0.15">
      <c r="A71" s="27" t="s">
        <v>98</v>
      </c>
      <c r="B71" s="27" t="s">
        <v>28</v>
      </c>
      <c r="C71" s="28">
        <v>2.0499999999999998</v>
      </c>
      <c r="D71" s="27">
        <v>64</v>
      </c>
      <c r="E71" s="27">
        <v>1</v>
      </c>
      <c r="F71" s="27" t="s">
        <v>57</v>
      </c>
      <c r="G71" s="29">
        <f t="shared" si="0"/>
        <v>2.7969348659003832</v>
      </c>
      <c r="H71" s="30" t="s">
        <v>17</v>
      </c>
      <c r="I71" s="31">
        <v>20565</v>
      </c>
      <c r="J71" s="32">
        <v>0.4</v>
      </c>
      <c r="K71" s="27">
        <v>74</v>
      </c>
      <c r="L71" s="33">
        <f t="shared" si="1"/>
        <v>8.0459770114942528E-2</v>
      </c>
      <c r="M71" s="29">
        <v>11.56</v>
      </c>
      <c r="N71" s="34">
        <f t="shared" si="2"/>
        <v>0.50574712643678166</v>
      </c>
      <c r="O71" s="27">
        <v>1</v>
      </c>
      <c r="P71" s="33">
        <f t="shared" si="3"/>
        <v>0.88888888888888884</v>
      </c>
      <c r="Q71" s="31">
        <v>885</v>
      </c>
      <c r="R71" s="34">
        <f t="shared" si="4"/>
        <v>0.41379310344827586</v>
      </c>
      <c r="S71" s="31">
        <v>466.38206156249998</v>
      </c>
      <c r="T71" s="34">
        <f t="shared" si="5"/>
        <v>0.22988505747126436</v>
      </c>
      <c r="U71" s="27">
        <v>1</v>
      </c>
      <c r="V71" s="34">
        <v>0.5</v>
      </c>
      <c r="W71" s="27">
        <v>2</v>
      </c>
      <c r="X71" s="32">
        <v>0.5</v>
      </c>
      <c r="Y71" s="26"/>
    </row>
    <row r="72" spans="1:25" ht="13" x14ac:dyDescent="0.15">
      <c r="A72" s="27" t="s">
        <v>99</v>
      </c>
      <c r="B72" s="27" t="s">
        <v>11</v>
      </c>
      <c r="C72" s="28">
        <v>2.04</v>
      </c>
      <c r="D72" s="27">
        <v>84</v>
      </c>
      <c r="E72" s="27">
        <v>2</v>
      </c>
      <c r="F72" s="27" t="s">
        <v>36</v>
      </c>
      <c r="G72" s="29">
        <f t="shared" si="0"/>
        <v>3.2911877394636013</v>
      </c>
      <c r="H72" s="30" t="s">
        <v>12</v>
      </c>
      <c r="I72" s="31">
        <v>22611</v>
      </c>
      <c r="J72" s="32">
        <v>0.15</v>
      </c>
      <c r="K72" s="27">
        <v>63</v>
      </c>
      <c r="L72" s="33">
        <f t="shared" si="1"/>
        <v>0.20689655172413793</v>
      </c>
      <c r="M72" s="29">
        <v>11.19</v>
      </c>
      <c r="N72" s="34">
        <f t="shared" si="2"/>
        <v>0.43678160919540232</v>
      </c>
      <c r="O72" s="27">
        <v>1</v>
      </c>
      <c r="P72" s="33">
        <f t="shared" si="3"/>
        <v>0.88888888888888884</v>
      </c>
      <c r="Q72" s="31">
        <v>831.5</v>
      </c>
      <c r="R72" s="34">
        <f t="shared" si="4"/>
        <v>0.45977011494252873</v>
      </c>
      <c r="S72" s="31">
        <v>709.71183281250001</v>
      </c>
      <c r="T72" s="34">
        <f t="shared" si="5"/>
        <v>5.7471264367816091E-2</v>
      </c>
      <c r="U72" s="27">
        <v>1</v>
      </c>
      <c r="V72" s="34">
        <v>0.5</v>
      </c>
      <c r="W72" s="27">
        <v>1</v>
      </c>
      <c r="X72" s="34">
        <f>100%</f>
        <v>1</v>
      </c>
      <c r="Y72" s="26"/>
    </row>
    <row r="73" spans="1:25" ht="13" x14ac:dyDescent="0.15">
      <c r="A73" s="27" t="s">
        <v>100</v>
      </c>
      <c r="B73" s="27" t="s">
        <v>32</v>
      </c>
      <c r="C73" s="28">
        <v>1.95</v>
      </c>
      <c r="D73" s="27">
        <v>47</v>
      </c>
      <c r="E73" s="27">
        <v>3</v>
      </c>
      <c r="F73" s="27" t="s">
        <v>33</v>
      </c>
      <c r="G73" s="29">
        <f t="shared" si="0"/>
        <v>2.328544061302682</v>
      </c>
      <c r="H73" s="30" t="s">
        <v>50</v>
      </c>
      <c r="I73" s="31">
        <v>20994</v>
      </c>
      <c r="J73" s="32">
        <v>0.37</v>
      </c>
      <c r="K73" s="27">
        <v>54</v>
      </c>
      <c r="L73" s="33">
        <f t="shared" si="1"/>
        <v>0.31034482758620691</v>
      </c>
      <c r="M73" s="29">
        <v>10.16</v>
      </c>
      <c r="N73" s="34">
        <f t="shared" si="2"/>
        <v>0.2988505747126437</v>
      </c>
      <c r="O73" s="27">
        <v>1</v>
      </c>
      <c r="P73" s="33">
        <f t="shared" si="3"/>
        <v>0.88888888888888884</v>
      </c>
      <c r="Q73" s="31">
        <v>1201.5</v>
      </c>
      <c r="R73" s="34">
        <f t="shared" si="4"/>
        <v>0.10344827586206896</v>
      </c>
      <c r="S73" s="31">
        <v>709.71183281250001</v>
      </c>
      <c r="T73" s="34">
        <f t="shared" si="5"/>
        <v>5.7471264367816091E-2</v>
      </c>
      <c r="U73" s="27">
        <v>2</v>
      </c>
      <c r="V73" s="34">
        <v>0.75</v>
      </c>
      <c r="W73" s="27">
        <v>3</v>
      </c>
      <c r="X73" s="32">
        <v>0</v>
      </c>
      <c r="Y73" s="26"/>
    </row>
    <row r="74" spans="1:25" ht="13" x14ac:dyDescent="0.15">
      <c r="A74" s="27" t="s">
        <v>101</v>
      </c>
      <c r="B74" s="27" t="s">
        <v>39</v>
      </c>
      <c r="C74" s="28">
        <v>1.91</v>
      </c>
      <c r="D74" s="27">
        <v>44</v>
      </c>
      <c r="E74" s="27">
        <v>3</v>
      </c>
      <c r="F74" s="27" t="s">
        <v>33</v>
      </c>
      <c r="G74" s="29">
        <f t="shared" si="0"/>
        <v>2.7806513409961688</v>
      </c>
      <c r="H74" s="30" t="s">
        <v>50</v>
      </c>
      <c r="I74" s="31">
        <v>16530</v>
      </c>
      <c r="J74" s="32">
        <v>0.85</v>
      </c>
      <c r="K74" s="27">
        <v>52</v>
      </c>
      <c r="L74" s="33">
        <f t="shared" si="1"/>
        <v>0.33333333333333331</v>
      </c>
      <c r="M74" s="29">
        <v>9.1</v>
      </c>
      <c r="N74" s="34">
        <f t="shared" si="2"/>
        <v>0.16091954022988506</v>
      </c>
      <c r="O74" s="27">
        <v>2</v>
      </c>
      <c r="P74" s="33">
        <f t="shared" si="3"/>
        <v>0.77777777777777779</v>
      </c>
      <c r="Q74" s="31">
        <v>995</v>
      </c>
      <c r="R74" s="34">
        <f t="shared" si="4"/>
        <v>0.28735632183908044</v>
      </c>
      <c r="S74" s="31">
        <v>466.38206156249998</v>
      </c>
      <c r="T74" s="34">
        <f t="shared" si="5"/>
        <v>0.22988505747126436</v>
      </c>
      <c r="U74" s="27">
        <v>2</v>
      </c>
      <c r="V74" s="34">
        <v>0.75</v>
      </c>
      <c r="W74" s="27">
        <v>2</v>
      </c>
      <c r="X74" s="32">
        <v>0.5</v>
      </c>
      <c r="Y74" s="26"/>
    </row>
    <row r="75" spans="1:25" ht="13" x14ac:dyDescent="0.15">
      <c r="A75" s="27" t="s">
        <v>102</v>
      </c>
      <c r="B75" s="27" t="s">
        <v>35</v>
      </c>
      <c r="C75" s="28">
        <v>1.9</v>
      </c>
      <c r="D75" s="27">
        <v>18</v>
      </c>
      <c r="E75" s="27">
        <v>2</v>
      </c>
      <c r="F75" s="27" t="s">
        <v>36</v>
      </c>
      <c r="G75" s="29">
        <f t="shared" si="0"/>
        <v>3.2729885057471266</v>
      </c>
      <c r="H75" s="30" t="s">
        <v>12</v>
      </c>
      <c r="I75" s="31">
        <v>17266</v>
      </c>
      <c r="J75" s="32">
        <v>0.82</v>
      </c>
      <c r="K75" s="27">
        <v>58</v>
      </c>
      <c r="L75" s="33">
        <f t="shared" si="1"/>
        <v>0.27586206896551724</v>
      </c>
      <c r="M75" s="29">
        <v>9</v>
      </c>
      <c r="N75" s="34">
        <f t="shared" si="2"/>
        <v>0.11494252873563218</v>
      </c>
      <c r="O75" s="27">
        <v>0</v>
      </c>
      <c r="P75" s="33">
        <f t="shared" si="3"/>
        <v>1</v>
      </c>
      <c r="Q75" s="31">
        <v>1900</v>
      </c>
      <c r="R75" s="34">
        <f t="shared" si="4"/>
        <v>3.4482758620689655E-2</v>
      </c>
      <c r="S75" s="31">
        <v>466.38206156249998</v>
      </c>
      <c r="T75" s="34">
        <f t="shared" si="5"/>
        <v>0.22988505747126436</v>
      </c>
      <c r="U75" s="27">
        <v>2</v>
      </c>
      <c r="V75" s="34">
        <v>0.75</v>
      </c>
      <c r="W75" s="27">
        <v>1</v>
      </c>
      <c r="X75" s="34">
        <f>100%</f>
        <v>1</v>
      </c>
      <c r="Y75" s="26"/>
    </row>
    <row r="76" spans="1:25" ht="13" x14ac:dyDescent="0.15">
      <c r="A76" s="27" t="s">
        <v>103</v>
      </c>
      <c r="B76" s="27" t="s">
        <v>39</v>
      </c>
      <c r="C76" s="28">
        <v>1.89</v>
      </c>
      <c r="D76" s="27">
        <v>102</v>
      </c>
      <c r="E76" s="27">
        <v>3</v>
      </c>
      <c r="F76" s="27" t="s">
        <v>57</v>
      </c>
      <c r="G76" s="29">
        <f t="shared" si="0"/>
        <v>2.6436781609195403</v>
      </c>
      <c r="H76" s="30" t="s">
        <v>50</v>
      </c>
      <c r="I76" s="31">
        <v>16176</v>
      </c>
      <c r="J76" s="32">
        <v>0.87</v>
      </c>
      <c r="K76" s="27">
        <v>76</v>
      </c>
      <c r="L76" s="33">
        <f t="shared" si="1"/>
        <v>5.7471264367816091E-2</v>
      </c>
      <c r="M76" s="29">
        <v>9.08</v>
      </c>
      <c r="N76" s="34">
        <f t="shared" si="2"/>
        <v>0.14942528735632185</v>
      </c>
      <c r="O76" s="27">
        <v>0</v>
      </c>
      <c r="P76" s="33">
        <f t="shared" si="3"/>
        <v>1</v>
      </c>
      <c r="Q76" s="31">
        <v>675</v>
      </c>
      <c r="R76" s="34">
        <f t="shared" si="4"/>
        <v>0.64367816091954022</v>
      </c>
      <c r="S76" s="31">
        <v>466.38206156249998</v>
      </c>
      <c r="T76" s="34">
        <f t="shared" si="5"/>
        <v>0.22988505747126436</v>
      </c>
      <c r="U76" s="27">
        <v>1</v>
      </c>
      <c r="V76" s="34">
        <v>0.5</v>
      </c>
      <c r="W76" s="27">
        <v>2</v>
      </c>
      <c r="X76" s="32">
        <v>0.5</v>
      </c>
      <c r="Y76" s="26"/>
    </row>
    <row r="77" spans="1:25" ht="13" x14ac:dyDescent="0.15">
      <c r="A77" s="27" t="s">
        <v>104</v>
      </c>
      <c r="B77" s="27" t="s">
        <v>32</v>
      </c>
      <c r="C77" s="28">
        <v>1.85</v>
      </c>
      <c r="D77" s="27">
        <v>34</v>
      </c>
      <c r="E77" s="27">
        <v>3</v>
      </c>
      <c r="F77" s="27" t="s">
        <v>22</v>
      </c>
      <c r="G77" s="29">
        <f t="shared" si="0"/>
        <v>3.225095785440613</v>
      </c>
      <c r="H77" s="30" t="s">
        <v>50</v>
      </c>
      <c r="I77" s="31">
        <v>16099</v>
      </c>
      <c r="J77" s="32">
        <v>0.89</v>
      </c>
      <c r="K77" s="27">
        <v>22</v>
      </c>
      <c r="L77" s="33">
        <f t="shared" si="1"/>
        <v>0.7816091954022989</v>
      </c>
      <c r="M77" s="29">
        <v>7.56</v>
      </c>
      <c r="N77" s="34">
        <f t="shared" si="2"/>
        <v>6.8965517241379309E-2</v>
      </c>
      <c r="O77" s="27">
        <v>4</v>
      </c>
      <c r="P77" s="33">
        <f t="shared" si="3"/>
        <v>0.55555555555555558</v>
      </c>
      <c r="Q77" s="31">
        <v>1320</v>
      </c>
      <c r="R77" s="34">
        <f t="shared" si="4"/>
        <v>8.0459770114942528E-2</v>
      </c>
      <c r="S77" s="31">
        <v>709.71183281250001</v>
      </c>
      <c r="T77" s="34">
        <f t="shared" si="5"/>
        <v>5.7471264367816091E-2</v>
      </c>
      <c r="U77" s="27">
        <v>2</v>
      </c>
      <c r="V77" s="34">
        <v>0.75</v>
      </c>
      <c r="W77" s="27">
        <v>1</v>
      </c>
      <c r="X77" s="34">
        <f>100%</f>
        <v>1</v>
      </c>
      <c r="Y77" s="26"/>
    </row>
    <row r="78" spans="1:25" ht="13" x14ac:dyDescent="0.15">
      <c r="A78" s="27" t="s">
        <v>105</v>
      </c>
      <c r="B78" s="27" t="s">
        <v>16</v>
      </c>
      <c r="C78" s="28">
        <v>1.85</v>
      </c>
      <c r="D78" s="27">
        <v>51</v>
      </c>
      <c r="E78" s="27">
        <v>2</v>
      </c>
      <c r="F78" s="27" t="s">
        <v>36</v>
      </c>
      <c r="G78" s="29">
        <f t="shared" si="0"/>
        <v>2.7231800766283527</v>
      </c>
      <c r="H78" s="30" t="s">
        <v>12</v>
      </c>
      <c r="I78" s="31">
        <v>18490</v>
      </c>
      <c r="J78" s="32">
        <v>0.69</v>
      </c>
      <c r="K78" s="27">
        <v>66</v>
      </c>
      <c r="L78" s="33">
        <f t="shared" si="1"/>
        <v>0.17241379310344829</v>
      </c>
      <c r="M78" s="29">
        <v>10.210000000000001</v>
      </c>
      <c r="N78" s="34">
        <f t="shared" si="2"/>
        <v>0.31034482758620691</v>
      </c>
      <c r="O78" s="27">
        <v>2</v>
      </c>
      <c r="P78" s="33">
        <f t="shared" si="3"/>
        <v>0.77777777777777779</v>
      </c>
      <c r="Q78" s="31">
        <v>1085</v>
      </c>
      <c r="R78" s="34">
        <f t="shared" si="4"/>
        <v>0.19540229885057472</v>
      </c>
      <c r="S78" s="31">
        <v>466.38206156249998</v>
      </c>
      <c r="T78" s="34">
        <f t="shared" si="5"/>
        <v>0.22988505747126436</v>
      </c>
      <c r="U78" s="27">
        <v>2</v>
      </c>
      <c r="V78" s="34">
        <v>0.75</v>
      </c>
      <c r="W78" s="27">
        <v>2</v>
      </c>
      <c r="X78" s="32">
        <v>0.5</v>
      </c>
      <c r="Y78" s="26"/>
    </row>
    <row r="79" spans="1:25" ht="13" x14ac:dyDescent="0.15">
      <c r="A79" s="27" t="s">
        <v>106</v>
      </c>
      <c r="B79" s="27" t="s">
        <v>32</v>
      </c>
      <c r="C79" s="28">
        <v>1.83</v>
      </c>
      <c r="D79" s="27">
        <v>7</v>
      </c>
      <c r="E79" s="27">
        <v>2</v>
      </c>
      <c r="F79" s="27" t="s">
        <v>33</v>
      </c>
      <c r="G79" s="29">
        <f t="shared" si="0"/>
        <v>3.2078544061302683</v>
      </c>
      <c r="H79" s="30" t="s">
        <v>12</v>
      </c>
      <c r="I79" s="31">
        <v>15746</v>
      </c>
      <c r="J79" s="32">
        <v>0.94</v>
      </c>
      <c r="K79" s="27">
        <v>48</v>
      </c>
      <c r="L79" s="33">
        <f t="shared" si="1"/>
        <v>0.39080459770114945</v>
      </c>
      <c r="M79" s="29">
        <v>8.81</v>
      </c>
      <c r="N79" s="34">
        <f t="shared" si="2"/>
        <v>0.10344827586206896</v>
      </c>
      <c r="O79" s="27">
        <v>4</v>
      </c>
      <c r="P79" s="33">
        <f t="shared" si="3"/>
        <v>0.55555555555555558</v>
      </c>
      <c r="Q79" s="31">
        <v>700</v>
      </c>
      <c r="R79" s="34">
        <f t="shared" si="4"/>
        <v>0.58620689655172409</v>
      </c>
      <c r="S79" s="31">
        <v>466.38206156249998</v>
      </c>
      <c r="T79" s="34">
        <f t="shared" si="5"/>
        <v>0.22988505747126436</v>
      </c>
      <c r="U79" s="27">
        <v>2</v>
      </c>
      <c r="V79" s="34">
        <v>0.75</v>
      </c>
      <c r="W79" s="27">
        <v>1</v>
      </c>
      <c r="X79" s="34">
        <f>100%</f>
        <v>1</v>
      </c>
      <c r="Y79" s="26"/>
    </row>
    <row r="80" spans="1:25" ht="13" x14ac:dyDescent="0.15">
      <c r="A80" s="27" t="s">
        <v>107</v>
      </c>
      <c r="B80" s="27" t="s">
        <v>32</v>
      </c>
      <c r="C80" s="28">
        <v>1.82</v>
      </c>
      <c r="D80" s="27">
        <v>58</v>
      </c>
      <c r="E80" s="27">
        <v>3</v>
      </c>
      <c r="F80" s="27" t="s">
        <v>33</v>
      </c>
      <c r="G80" s="29">
        <f t="shared" si="0"/>
        <v>2.5651340996168583</v>
      </c>
      <c r="H80" s="30" t="s">
        <v>50</v>
      </c>
      <c r="I80" s="31">
        <v>21986</v>
      </c>
      <c r="J80" s="32">
        <v>0.23</v>
      </c>
      <c r="K80" s="27">
        <v>50</v>
      </c>
      <c r="L80" s="33">
        <f t="shared" si="1"/>
        <v>0.35632183908045978</v>
      </c>
      <c r="M80" s="29">
        <v>10.67</v>
      </c>
      <c r="N80" s="34">
        <f t="shared" si="2"/>
        <v>0.35632183908045978</v>
      </c>
      <c r="O80" s="27">
        <v>2</v>
      </c>
      <c r="P80" s="33">
        <f t="shared" si="3"/>
        <v>0.77777777777777779</v>
      </c>
      <c r="Q80" s="31">
        <v>1209.5</v>
      </c>
      <c r="R80" s="34">
        <f t="shared" si="4"/>
        <v>9.1954022988505746E-2</v>
      </c>
      <c r="S80" s="31">
        <v>709.71183281250001</v>
      </c>
      <c r="T80" s="34">
        <f t="shared" si="5"/>
        <v>5.7471264367816091E-2</v>
      </c>
      <c r="U80" s="27">
        <v>1</v>
      </c>
      <c r="V80" s="34">
        <v>0.5</v>
      </c>
      <c r="W80" s="27">
        <v>2</v>
      </c>
      <c r="X80" s="32">
        <v>0.5</v>
      </c>
      <c r="Y80" s="26"/>
    </row>
    <row r="81" spans="1:25" ht="13" x14ac:dyDescent="0.15">
      <c r="A81" s="27" t="s">
        <v>108</v>
      </c>
      <c r="B81" s="27" t="s">
        <v>35</v>
      </c>
      <c r="C81" s="28">
        <v>1.76</v>
      </c>
      <c r="D81" s="27">
        <v>68</v>
      </c>
      <c r="E81" s="27">
        <v>2</v>
      </c>
      <c r="F81" s="27" t="s">
        <v>57</v>
      </c>
      <c r="G81" s="29">
        <f t="shared" si="0"/>
        <v>2.5076628352490422</v>
      </c>
      <c r="H81" s="30" t="s">
        <v>12</v>
      </c>
      <c r="I81" s="31">
        <v>15898</v>
      </c>
      <c r="J81" s="32">
        <v>0.91</v>
      </c>
      <c r="K81" s="27">
        <v>77</v>
      </c>
      <c r="L81" s="33">
        <f t="shared" si="1"/>
        <v>4.5977011494252873E-2</v>
      </c>
      <c r="M81" s="29">
        <v>9.01</v>
      </c>
      <c r="N81" s="34">
        <f t="shared" si="2"/>
        <v>0.12643678160919541</v>
      </c>
      <c r="O81" s="27">
        <v>2</v>
      </c>
      <c r="P81" s="33">
        <f t="shared" si="3"/>
        <v>0.77777777777777779</v>
      </c>
      <c r="Q81" s="31">
        <v>515</v>
      </c>
      <c r="R81" s="34">
        <f t="shared" si="4"/>
        <v>0.88505747126436785</v>
      </c>
      <c r="S81" s="31">
        <v>466.38206156249998</v>
      </c>
      <c r="T81" s="34">
        <f t="shared" si="5"/>
        <v>0.22988505747126436</v>
      </c>
      <c r="U81" s="27">
        <v>1</v>
      </c>
      <c r="V81" s="34">
        <v>0.5</v>
      </c>
      <c r="W81" s="27">
        <v>2</v>
      </c>
      <c r="X81" s="32">
        <v>0.5</v>
      </c>
      <c r="Y81" s="26"/>
    </row>
    <row r="82" spans="1:25" ht="13" x14ac:dyDescent="0.15">
      <c r="A82" s="27" t="s">
        <v>110</v>
      </c>
      <c r="B82" s="27" t="s">
        <v>39</v>
      </c>
      <c r="C82" s="28">
        <v>1.66</v>
      </c>
      <c r="D82" s="27">
        <v>79</v>
      </c>
      <c r="E82" s="27">
        <v>3</v>
      </c>
      <c r="F82" s="27" t="s">
        <v>33</v>
      </c>
      <c r="G82" s="29">
        <f t="shared" si="0"/>
        <v>3.0373563218390807</v>
      </c>
      <c r="H82" s="30" t="s">
        <v>50</v>
      </c>
      <c r="I82" s="31">
        <v>18435</v>
      </c>
      <c r="J82" s="32">
        <v>0.7</v>
      </c>
      <c r="K82" s="27">
        <v>41</v>
      </c>
      <c r="L82" s="33">
        <f t="shared" si="1"/>
        <v>0.52873563218390807</v>
      </c>
      <c r="M82" s="29">
        <v>6.94</v>
      </c>
      <c r="N82" s="34">
        <f t="shared" si="2"/>
        <v>4.5977011494252873E-2</v>
      </c>
      <c r="O82" s="27">
        <v>3</v>
      </c>
      <c r="P82" s="33">
        <f t="shared" si="3"/>
        <v>0.66666666666666674</v>
      </c>
      <c r="Q82" s="31">
        <v>1333.3333333333301</v>
      </c>
      <c r="R82" s="34">
        <f t="shared" si="4"/>
        <v>6.8965517241379309E-2</v>
      </c>
      <c r="S82" s="31">
        <v>1216.6488562500001</v>
      </c>
      <c r="T82" s="34">
        <f t="shared" si="5"/>
        <v>2.2988505747126436E-2</v>
      </c>
      <c r="U82" s="27">
        <v>2</v>
      </c>
      <c r="V82" s="34">
        <v>0.75</v>
      </c>
      <c r="W82" s="27">
        <v>1</v>
      </c>
      <c r="X82" s="34">
        <f>100%</f>
        <v>1</v>
      </c>
      <c r="Y82" s="26"/>
    </row>
    <row r="83" spans="1:25" ht="13" x14ac:dyDescent="0.15">
      <c r="A83" s="27" t="s">
        <v>109</v>
      </c>
      <c r="B83" s="27" t="s">
        <v>39</v>
      </c>
      <c r="C83" s="28">
        <v>1.66</v>
      </c>
      <c r="D83" s="27">
        <v>48</v>
      </c>
      <c r="E83" s="27">
        <v>3</v>
      </c>
      <c r="F83" s="27" t="s">
        <v>57</v>
      </c>
      <c r="G83" s="29">
        <f t="shared" si="0"/>
        <v>2.539272030651341</v>
      </c>
      <c r="H83" s="30" t="s">
        <v>50</v>
      </c>
      <c r="I83" s="31">
        <v>13824</v>
      </c>
      <c r="J83" s="32">
        <v>0.98</v>
      </c>
      <c r="K83" s="27">
        <v>75</v>
      </c>
      <c r="L83" s="33">
        <f t="shared" si="1"/>
        <v>6.8965517241379309E-2</v>
      </c>
      <c r="M83" s="29">
        <v>6.75</v>
      </c>
      <c r="N83" s="34">
        <f t="shared" si="2"/>
        <v>3.4482758620689655E-2</v>
      </c>
      <c r="O83" s="27">
        <v>2</v>
      </c>
      <c r="P83" s="33">
        <f t="shared" si="3"/>
        <v>0.77777777777777779</v>
      </c>
      <c r="Q83" s="31">
        <v>607.5</v>
      </c>
      <c r="R83" s="34">
        <f t="shared" si="4"/>
        <v>0.75862068965517238</v>
      </c>
      <c r="S83" s="31">
        <v>709.71183281250001</v>
      </c>
      <c r="T83" s="34">
        <f t="shared" si="5"/>
        <v>5.7471264367816091E-2</v>
      </c>
      <c r="U83" s="27">
        <v>2</v>
      </c>
      <c r="V83" s="34">
        <v>0.75</v>
      </c>
      <c r="W83" s="27">
        <v>2</v>
      </c>
      <c r="X83" s="32">
        <v>0.5</v>
      </c>
      <c r="Y83" s="26"/>
    </row>
    <row r="84" spans="1:25" ht="13" x14ac:dyDescent="0.15">
      <c r="A84" s="27" t="s">
        <v>111</v>
      </c>
      <c r="B84" s="27" t="s">
        <v>32</v>
      </c>
      <c r="C84" s="28">
        <v>1.64</v>
      </c>
      <c r="D84" s="27">
        <v>40</v>
      </c>
      <c r="E84" s="27">
        <v>3</v>
      </c>
      <c r="F84" s="27" t="s">
        <v>36</v>
      </c>
      <c r="G84" s="29">
        <f t="shared" si="0"/>
        <v>3.0105363984674329</v>
      </c>
      <c r="H84" s="30" t="s">
        <v>50</v>
      </c>
      <c r="I84" s="31">
        <v>13936</v>
      </c>
      <c r="J84" s="32">
        <v>0.97</v>
      </c>
      <c r="K84" s="27">
        <v>69</v>
      </c>
      <c r="L84" s="33">
        <f t="shared" si="1"/>
        <v>0.13793103448275862</v>
      </c>
      <c r="M84" s="29">
        <v>7.57</v>
      </c>
      <c r="N84" s="34">
        <f t="shared" si="2"/>
        <v>8.0459770114942528E-2</v>
      </c>
      <c r="O84" s="27">
        <v>2</v>
      </c>
      <c r="P84" s="33">
        <f t="shared" si="3"/>
        <v>0.77777777777777779</v>
      </c>
      <c r="Q84" s="31">
        <v>980</v>
      </c>
      <c r="R84" s="34">
        <f t="shared" si="4"/>
        <v>0.2988505747126437</v>
      </c>
      <c r="S84" s="31">
        <v>466.38206156249998</v>
      </c>
      <c r="T84" s="34">
        <f t="shared" si="5"/>
        <v>0.22988505747126436</v>
      </c>
      <c r="U84" s="27">
        <v>2</v>
      </c>
      <c r="V84" s="34">
        <v>0.75</v>
      </c>
      <c r="W84" s="27">
        <v>1</v>
      </c>
      <c r="X84" s="34">
        <f>100%</f>
        <v>1</v>
      </c>
      <c r="Y84" s="26"/>
    </row>
    <row r="85" spans="1:25" ht="13" x14ac:dyDescent="0.15">
      <c r="A85" s="35" t="s">
        <v>112</v>
      </c>
      <c r="B85" s="35" t="s">
        <v>32</v>
      </c>
      <c r="C85" s="28">
        <v>1.57</v>
      </c>
      <c r="D85" s="35">
        <v>28</v>
      </c>
      <c r="E85" s="27">
        <v>3</v>
      </c>
      <c r="F85" s="35" t="s">
        <v>57</v>
      </c>
      <c r="G85" s="29">
        <f t="shared" si="0"/>
        <v>2.9415708812260535</v>
      </c>
      <c r="H85" s="36" t="s">
        <v>50</v>
      </c>
      <c r="I85" s="31">
        <v>13581</v>
      </c>
      <c r="J85" s="32">
        <v>0.99</v>
      </c>
      <c r="K85" s="35">
        <v>72</v>
      </c>
      <c r="L85" s="33">
        <f t="shared" si="1"/>
        <v>0.10344827586206896</v>
      </c>
      <c r="M85" s="37">
        <v>6.5</v>
      </c>
      <c r="N85" s="34">
        <f t="shared" si="2"/>
        <v>2.2988505747126436E-2</v>
      </c>
      <c r="O85" s="35">
        <v>2</v>
      </c>
      <c r="P85" s="33">
        <f t="shared" si="3"/>
        <v>0.77777777777777779</v>
      </c>
      <c r="Q85" s="31">
        <v>900</v>
      </c>
      <c r="R85" s="34">
        <f t="shared" si="4"/>
        <v>0.37931034482758619</v>
      </c>
      <c r="S85" s="31">
        <v>701.30212425000002</v>
      </c>
      <c r="T85" s="34">
        <f t="shared" si="5"/>
        <v>0.19540229885057472</v>
      </c>
      <c r="U85" s="35">
        <v>2</v>
      </c>
      <c r="V85" s="34">
        <v>0.75</v>
      </c>
      <c r="W85" s="35">
        <v>1</v>
      </c>
      <c r="X85" s="38">
        <v>1</v>
      </c>
      <c r="Y85" s="26"/>
    </row>
    <row r="86" spans="1:25" ht="13" x14ac:dyDescent="0.15">
      <c r="A86" s="27" t="s">
        <v>113</v>
      </c>
      <c r="B86" s="27" t="s">
        <v>32</v>
      </c>
      <c r="C86" s="28">
        <v>1.53</v>
      </c>
      <c r="D86" s="27">
        <v>19</v>
      </c>
      <c r="E86" s="27">
        <v>3</v>
      </c>
      <c r="F86" s="27" t="s">
        <v>33</v>
      </c>
      <c r="G86" s="29">
        <f t="shared" si="0"/>
        <v>2.9090038314176248</v>
      </c>
      <c r="H86" s="30" t="s">
        <v>50</v>
      </c>
      <c r="I86" s="31">
        <v>14662</v>
      </c>
      <c r="J86" s="32">
        <v>0.95</v>
      </c>
      <c r="K86" s="27">
        <v>48</v>
      </c>
      <c r="L86" s="33">
        <f t="shared" si="1"/>
        <v>0.39080459770114945</v>
      </c>
      <c r="M86" s="29">
        <v>6.96</v>
      </c>
      <c r="N86" s="34">
        <f t="shared" si="2"/>
        <v>5.7471264367816091E-2</v>
      </c>
      <c r="O86" s="27">
        <v>4</v>
      </c>
      <c r="P86" s="33">
        <f t="shared" si="3"/>
        <v>0.55555555555555558</v>
      </c>
      <c r="Q86" s="31">
        <v>1040</v>
      </c>
      <c r="R86" s="34">
        <f t="shared" si="4"/>
        <v>0.25287356321839083</v>
      </c>
      <c r="S86" s="31">
        <v>709.71183281250001</v>
      </c>
      <c r="T86" s="34">
        <f t="shared" si="5"/>
        <v>5.7471264367816091E-2</v>
      </c>
      <c r="U86" s="27">
        <v>2</v>
      </c>
      <c r="V86" s="34">
        <v>0.75</v>
      </c>
      <c r="W86" s="27">
        <v>1</v>
      </c>
      <c r="X86" s="34">
        <f t="shared" ref="X86:X87" si="17">100%</f>
        <v>1</v>
      </c>
      <c r="Y86" s="26"/>
    </row>
    <row r="87" spans="1:25" ht="13" x14ac:dyDescent="0.15">
      <c r="A87" s="27" t="s">
        <v>114</v>
      </c>
      <c r="B87" s="27" t="s">
        <v>32</v>
      </c>
      <c r="C87" s="28">
        <v>1.42</v>
      </c>
      <c r="D87" s="27">
        <v>49</v>
      </c>
      <c r="E87" s="27">
        <v>3</v>
      </c>
      <c r="F87" s="27" t="s">
        <v>36</v>
      </c>
      <c r="G87" s="29">
        <f t="shared" si="0"/>
        <v>2.666666666666667</v>
      </c>
      <c r="H87" s="30" t="s">
        <v>50</v>
      </c>
      <c r="I87" s="31">
        <v>20022</v>
      </c>
      <c r="J87" s="32">
        <v>0.52</v>
      </c>
      <c r="K87" s="27">
        <v>65</v>
      </c>
      <c r="L87" s="33">
        <f t="shared" si="1"/>
        <v>0.18390804597701149</v>
      </c>
      <c r="M87" s="29">
        <v>7.78</v>
      </c>
      <c r="N87" s="34">
        <f t="shared" si="2"/>
        <v>9.1954022988505746E-2</v>
      </c>
      <c r="O87" s="27">
        <v>3</v>
      </c>
      <c r="P87" s="33">
        <f t="shared" si="3"/>
        <v>0.66666666666666674</v>
      </c>
      <c r="Q87" s="31">
        <v>875</v>
      </c>
      <c r="R87" s="34">
        <f t="shared" si="4"/>
        <v>0.42528735632183906</v>
      </c>
      <c r="S87" s="31">
        <v>1216.6488562500001</v>
      </c>
      <c r="T87" s="34">
        <f t="shared" si="5"/>
        <v>2.2988505747126436E-2</v>
      </c>
      <c r="U87" s="27">
        <v>1</v>
      </c>
      <c r="V87" s="34">
        <v>0.5</v>
      </c>
      <c r="W87" s="27">
        <v>1</v>
      </c>
      <c r="X87" s="34">
        <f t="shared" si="17"/>
        <v>1</v>
      </c>
      <c r="Y87" s="26"/>
    </row>
    <row r="88" spans="1:25" ht="13" x14ac:dyDescent="0.15">
      <c r="A88" s="27" t="s">
        <v>115</v>
      </c>
      <c r="B88" s="27" t="s">
        <v>35</v>
      </c>
      <c r="C88" s="28">
        <v>0.99</v>
      </c>
      <c r="D88" s="27">
        <v>6</v>
      </c>
      <c r="E88" s="27">
        <v>2</v>
      </c>
      <c r="F88" s="27" t="s">
        <v>57</v>
      </c>
      <c r="G88" s="29">
        <f t="shared" si="0"/>
        <v>1.8611111111111112</v>
      </c>
      <c r="H88" s="30" t="s">
        <v>12</v>
      </c>
      <c r="I88" s="31">
        <v>13479</v>
      </c>
      <c r="J88" s="32">
        <v>1</v>
      </c>
      <c r="K88" s="27">
        <v>78</v>
      </c>
      <c r="L88" s="33">
        <f t="shared" si="1"/>
        <v>3.4482758620689655E-2</v>
      </c>
      <c r="M88" s="29">
        <v>6.29</v>
      </c>
      <c r="N88" s="34">
        <f t="shared" si="2"/>
        <v>1.1494252873563218E-2</v>
      </c>
      <c r="O88" s="27">
        <v>5</v>
      </c>
      <c r="P88" s="33">
        <f t="shared" si="3"/>
        <v>0.44444444444444442</v>
      </c>
      <c r="Q88" s="31">
        <v>2680</v>
      </c>
      <c r="R88" s="34">
        <f t="shared" si="4"/>
        <v>1.1494252873563218E-2</v>
      </c>
      <c r="S88" s="31">
        <v>466.38206156249998</v>
      </c>
      <c r="T88" s="34">
        <f t="shared" si="5"/>
        <v>0.22988505747126436</v>
      </c>
      <c r="U88" s="27">
        <v>2</v>
      </c>
      <c r="V88" s="34">
        <v>0.75</v>
      </c>
      <c r="W88" s="27">
        <v>2</v>
      </c>
      <c r="X88" s="32">
        <v>0.5</v>
      </c>
      <c r="Y88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full</vt:lpstr>
      <vt:lpstr>data 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gruchala</cp:lastModifiedBy>
  <dcterms:created xsi:type="dcterms:W3CDTF">2026-05-01T05:38:59Z</dcterms:created>
  <dcterms:modified xsi:type="dcterms:W3CDTF">2026-05-05T00:43:56Z</dcterms:modified>
</cp:coreProperties>
</file>